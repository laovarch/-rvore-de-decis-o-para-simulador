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
    </mc:Choice>
  </mc:AlternateContent>
  <xr:revisionPtr revIDLastSave="0" documentId="13_ncr:1_{8E364D54-5DD2-493A-AC2D-571C41E69ED1}" xr6:coauthVersionLast="47" xr6:coauthVersionMax="47" xr10:uidLastSave="{00000000-0000-0000-0000-000000000000}"/>
  <bookViews>
    <workbookView xWindow="-120" yWindow="-120" windowWidth="29040" windowHeight="15720" activeTab="2" xr2:uid="{00000000-000D-0000-FFFF-FFFF00000000}"/>
  </bookViews>
  <sheets>
    <sheet name="INSTRUCOES" sheetId="2" r:id="rId1"/>
    <sheet name="CATEGORIAS" sheetId="5" r:id="rId2"/>
    <sheet name="ARVORE" sheetId="1" r:id="rId3"/>
    <sheet name="FINALIZACOES" sheetId="3" r:id="rId4"/>
    <sheet name="ABERTURA_FECHAMENTO" sheetId="4" r:id="rId5"/>
    <sheet name="FINAIS_ANTECIPADOS" sheetId="6" r:id="rId6"/>
  </sheets>
  <definedNames>
    <definedName name="_xlnm._FilterDatabase" localSheetId="3" hidden="1">FINALIZACOES!$F$2:$F$17</definedName>
    <definedName name="ListaCategorias">CATEGORIAS!$B$2:$B$117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s="1"/>
  <c r="H6" i="3"/>
  <c r="H7" i="3"/>
  <c r="H8" i="3" s="1"/>
  <c r="H9" i="3" s="1"/>
  <c r="H10" i="3"/>
  <c r="H11" i="3"/>
  <c r="H12" i="3" s="1"/>
  <c r="H13" i="3" s="1"/>
  <c r="H14" i="3" s="1"/>
  <c r="H15" i="3"/>
  <c r="H16" i="3" s="1"/>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2" i="3"/>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alcChain>
</file>

<file path=xl/sharedStrings.xml><?xml version="1.0" encoding="utf-8"?>
<sst xmlns="http://schemas.openxmlformats.org/spreadsheetml/2006/main" count="715" uniqueCount="361">
  <si>
    <t>PerguntaID</t>
  </si>
  <si>
    <t>Categoria</t>
  </si>
  <si>
    <t>Pergunta</t>
  </si>
  <si>
    <t>Opcao</t>
  </si>
  <si>
    <t>TextoOpcao</t>
  </si>
  <si>
    <t>TextoExibido</t>
  </si>
  <si>
    <t>TipoEscolha</t>
  </si>
  <si>
    <t>Caminho</t>
  </si>
  <si>
    <t>A2</t>
  </si>
  <si>
    <t>Pressa e Profundidade</t>
  </si>
  <si>
    <t>O gestor quer rapidez nesse projeto.
FALA: Se conseguirmos respostas rápidas, já ajuda. Não precisa ser tão detalhado.
FALA: Pressa faz parte da rotina, mas precisamos decidir até que ponto vale abrir mão da qualidade das perguntas.
FALA: Como estagiário aqui, o que você faria nessa situação?</t>
  </si>
  <si>
    <t>A</t>
  </si>
  <si>
    <t>Criar perguntas bem genéricas para agilizar.</t>
  </si>
  <si>
    <t>Alguns dias depois, o formulário está no ar e as respostas começam a chegar.
GESTOR FALA: "Recebemos bastante resposta rápido, isso é bom. Mas estou lendo aqui e é tudo muito superficial…
RAFAEL FALA: As perguntas eram tão amplas que as respostas ficaram rasas. A equipe passa a decidir mais em suposições do que em evidências.
Numa campanha anterior, fizeram algo parecido: perguntas amplas, disparo em massa, pouco engajamento e muito orçamento jogado fora."</t>
  </si>
  <si>
    <t>Ruim</t>
  </si>
  <si>
    <t>A39</t>
  </si>
  <si>
    <t>B</t>
  </si>
  <si>
    <t>Criar perguntas específicas, mesmo que leve mais tempo.</t>
  </si>
  <si>
    <t>Você e Rafael demoram um pouco mais para fechar o questionário, revisando e ajustando as perguntas.
GESTOR FALA: "Confesso que achei que ia sair mais rápido… Mas essas respostas aqui estão bem mais ricas."
RAFAEL FALA: Esse nível de detalhe permite análises mais profundas. Dá mais trabalho agora, mas reduz retrabalho lá na frente.
Empresas como a Netflix usam dados detalhados de comportamento para personalizar recomendações e aumentar a retenção de usuários.</t>
  </si>
  <si>
    <t>Bom</t>
  </si>
  <si>
    <t>A5</t>
  </si>
  <si>
    <t>C</t>
  </si>
  <si>
    <t>Começar com perguntas gerais agora e planejar uma segunda pesquisa mais específica depois.</t>
  </si>
  <si>
    <t>Vocês montam um questionário com perguntas mais gerais, já planejando uma segunda pesquisa mais específica.
GESTOR FALA: "Gostei. Com esse questionário, temos um panorama rápido agora e depois aprofundamos com outro estudo."
RAFAEL FALA: Você encontrou um meio-termo inteligente: não trava o projeto, mas também não abre mão completamente da qualidade.
Isso é comum em empresas que estão amadurecendo o uso de dados.</t>
  </si>
  <si>
    <t>Uso crítico da IA</t>
  </si>
  <si>
    <t>Rafael decide utilizar a IA para criar perguntas para o formulário.
SISTEMA NARRADOR: Na tela, aparece: 'Sugestão: perguntas que direcionam respostas aumentam conversão.'
RAFAEL FALA: Ela é rápida, mas não é responsável pela ética nem pela qualidade.  Quem responde por isso somos nós.
RAFAEL FALA: O que você faz com essas sugestões?</t>
  </si>
  <si>
    <t>Aceitar a sugestão da IA como está.</t>
  </si>
  <si>
    <t>O questionário fica pronto rapidamente, com várias perguntas exatamente como a IA sugeriu.
GESTOR FALA: Os números parecem ótimos, todo mundo satisfeito… mas quando lançamos a campanha, o retorno foi bem abaixo do esperado."
RAFAEL FALA: As perguntas direcionadas colocaram respostas mais positivas do que a realidade. O relatório ficou bonito, mas não fiel.
Sem revisão humana, a tecnologia não corrige erro, ela amplifica.</t>
  </si>
  <si>
    <t>A48</t>
  </si>
  <si>
    <t>Ajustar a sugestão da IA para linguagem neutra.</t>
  </si>
  <si>
    <t>Você revisa as perguntas, removendo termos que empurram o respondente para respostas positivas.
RAFAEL FALA: "Agora sim: mantemos o ganho de tempo da IA, mas as perguntas voltam a ser neutras e claras.
GESTOR FALA: As respostas estão mais variadas. Tem elogios e críticas. Dá para entender melhor a situação real."
RAFAEL FALA: IA como apoio é ótimo, desde que a decisão final continue sendo humana.</t>
  </si>
  <si>
    <t>A8</t>
  </si>
  <si>
    <t>Usar as sugestões da IA como rascunho e revisar com outro analista.</t>
  </si>
  <si>
    <t>Você usa a IA como rascunho e chama outro analista para revisar as perguntas com você.
COLEGA FALA: "Algumas perguntas estão boas, mas outras empurram o cliente a dizer que está tudo perfeito. Vamos reescrever essas aqui.
RAFAEL FALA: Quando a gente junta IA, análise humana e revisão em dupla, fica bem mais difícil um viés passar sem ser percebido."
Esse é o tipo de prática que diferencia equipes maduras em dados.</t>
  </si>
  <si>
    <t>O gestor informa que precisa entender o poder de compra dos consumidores.
GESTOR FALA: "Se soubermos renda exata, a campanha fica muito melhor...
RAFAEL FALA: Renda é um dado sensível. Pode ajudar, mas também pode afastar respondentes e aumentar riscos." Como você quer avançar?</t>
  </si>
  <si>
    <t>Pedir faixa de renda.</t>
  </si>
  <si>
    <t>Você configura a pergunta para usar faixas de renda em vez de valores exatos.
CLIENTE FALA: "Marcar uma faixa é mais confortável do que dizer quanto eu ganho. Vou responder.
RAFAEL FALA:Você equilibrou informação e respeito à privacidade. As pessoas tendem a participar mais assim.
RAFAEL FALA: Pesquisas de institutos como o IBGE também usam faixas para evitar invasão de privacidade.</t>
  </si>
  <si>
    <t>A11</t>
  </si>
  <si>
    <t>Pedir renda exata/detalhada.</t>
  </si>
  <si>
    <t>Você configura a pergunta pedindo renda exata do respondente.
CLIENTE FALA: "Renda exata? Não me sinto à vontade para responder isso. Melhor sair da pesquisa."
RAFAEL FALA: Pedir esse nível de detalhe gera desconforto, abandono e até respostas falsas.
Coletar dados sensíveis sem necessidade clara aumenta riscos legais e de imagem.</t>
  </si>
  <si>
    <t>A14</t>
  </si>
  <si>
    <t>Consultar o jurídico antes de decidir.</t>
  </si>
  <si>
    <t>Você marca uma reunião rápida com o jurídico/encarregado de dados.
JURÍDICO FALA: A LGPD fala em minimização: não coletar mais do que o necessário. Se a faixa de renda atende ao objetivo, é a melhor escolha.
JURÍDICO FALA: Se forem coletar renda exata, precisarão de justificativa forte e proteção reforçada."
RAFAEL FALA: Trazer o jurídico para a conversa protege você, o consumidor e a empresa.</t>
  </si>
  <si>
    <t>Neutra</t>
  </si>
  <si>
    <t>Qualidade das perguntas</t>
  </si>
  <si>
    <t>Você e Rafael estão olhando os resultados da pesquisa.
GESTOR FALA: "Esses dados parecem bons... podemos usar para todas as campanhas?
RAFAEL FALA: Cada pesquisa foi feita com um objetivo e um público." Se ignorarmos isso, podemos errar nas decisões.</t>
  </si>
  <si>
    <t>Generalizar resultados para todas as campanhas.</t>
  </si>
  <si>
    <t>Os resultados da pesquisa passam a ser usados em campanhas muito diferentes do público original.
GESTOR FALA: Em uma região, funcionou bem; em outra, quase ninguém reagiu. Parece que esses dados não eram tão universais assim."
RAFAEL FALA: Ignorar o contexto da pesquisa leva a interpretações equivocadas e campanhas inconsistentes.
RAFAEL FALA: Se o termo de consentimento não previa esse uso ampliado, ainda temos um risco ético e jurídico.</t>
  </si>
  <si>
    <t>A42</t>
  </si>
  <si>
    <t>Analisar limitações dos dados antes de aplicar.</t>
  </si>
  <si>
    <t>Você revisa com Rafael quem respondeu, onde e com qual objetivo.
RAFAEL FALA: "Faz sentido usar esses dados em campanhas parecidas com o público original. Para contextos diferentes, precisamos de novas pesquisas.
GESTOR FALA: Prefiro campanhas menores e mais certeiras do que algo grande baseado em dados mal encaixados."
RAFAEL FALA: Analisar limitações aumenta a precisão das decisões e a credibilidade da área de marketing.</t>
  </si>
  <si>
    <t>A17</t>
  </si>
  <si>
    <t>Usar resultados só onde fizer sentido e planejar novas coletas.</t>
  </si>
  <si>
    <t>Você propõe usar os resultados apenas onde eles realmente fazem sentido e já planeja novas coletas específicas.
GESTOR FALA: É mais trabalho, mas faz sentido. Cada público com seus próprios dados.
RAFAEL FALA: Grandes redes de varejo adaptam campanhas por região justamente por isso. Comportamento muda com o contexto.</t>
  </si>
  <si>
    <t>Ética/LGPD</t>
  </si>
  <si>
    <t>Rafael está configurando a introdução do questionário.
GESTOR FALA: Se a gente explicar muito, o cliente pode desistir de responder...
RAFAEL FALA: Transparência influencia a confiança. Se a pessoa não entende o objetivo nem o uso dos dados, tende a desconfiar. O que você faria nesse caso?</t>
  </si>
  <si>
    <t>Não informar claramente objetivo nem uso dos dados.</t>
  </si>
  <si>
    <t>Você publica uma introdução vaga, sem explicar para que serve a pesquisa nem como os dados serão usados.
CLIENTE FALA: Não está claro pra que é isso… melhor não responder.
RAFAEL FALA: Menos texto, mas também menos transparência. Isso aumenta abandono e pode ser visto como falta de ética.</t>
  </si>
  <si>
    <t>A23</t>
  </si>
  <si>
    <t>Informar objetivo, uso dos dados e tempo estimado.</t>
  </si>
  <si>
    <t>Vocês escrevem uma introdução clara, com objetivo, uso dos dados e tempo estimado.
CLIENTE FALA: Entendi para que é e quanto tempo leva. Vou responder.
RAFAEL FALA: Esse tipo de transparência aumenta a confiança e a qualidade das respostas.</t>
  </si>
  <si>
    <t>Informar objetivo e uso dos dados, com tempo estimado genérico.</t>
  </si>
  <si>
    <t>Você informa objetivo e uso dos dados e diz que o questionário é curto, sem detalhar minutos exatos.
CLIENTE FALA: Parece rápido e sei para que serve. Topo responder.
RAFAEL FALA: Funciona, desde que o questionário realmente não seja muito longo.</t>
  </si>
  <si>
    <t>Rafael pensa em juntar preço e qualidade na mesma pergunta para reduzir o formulário.
RAFAEL FALA: Se eu juntar tudo em uma pergunta, fica mais rápido... mas será que fica claro?</t>
  </si>
  <si>
    <t>Separar em duas perguntas: preço e qualidade.</t>
  </si>
  <si>
    <t>Você separa preço e qualidade em duas perguntas distintas.
RAFAEL FALA: Assim conseguimos saber se o problema é preço, qualidade ou os dois.
É como um teste A/B: separar variáveis ajuda a entender o que impacta o resultado.</t>
  </si>
  <si>
    <t>A20</t>
  </si>
  <si>
    <t>Você considera o preço e a qualidade do produto bons?</t>
  </si>
  <si>
    <t>Você junta preço e qualidade em uma pergunta dupla.
RAFAEL FALA: Se a pessoa responder 'não', não sabemos se é por causa do preço, da qualidade ou dos dois.
Isso pode levar a ajustes errados, como mexer no preço quando o problema é qualidade.</t>
  </si>
  <si>
    <t>Duas perguntas separadas, cada uma com escala de 1 a 5.</t>
  </si>
  <si>
    <t>Você mantém duas perguntas separadas, cada uma com escala numérica.
RAFAEL FALA: Isso facilita comparar e visualizar os dados, ajudando na tomada de decisão.
É uma forma prática de transformar respostas em ações.</t>
  </si>
  <si>
    <t>Rafael quer medir satisfação do cliente; o gestor quer reforçar pontos positivos.
GESTOR FALA: Se a gente reforçar que o atendimento é rápido e eficiente, a percepção da marca melhora.
RAFAEL FALA: Mas se exagerarmos no elogio, as respostas podem ficar enviesadas. Como você prefere perguntar?</t>
  </si>
  <si>
    <t>O quanto você ficou satisfeito com nosso atendimento rápido e eficiente?</t>
  </si>
  <si>
    <t>A pergunta reforça explicitamente que o atendimento é rápido e eficiente.
CLIENTE FALA: Eles já estão dizendo que é rápido e eficiente... fico meio constrangido de dizer que não.
RAFAEL FALA: As respostas tendem a ficar mais positivas do que a realidade. Isso cria uma falsa sensação de que está tudo bem.</t>
  </si>
  <si>
    <t>A26</t>
  </si>
  <si>
    <t>Como você avalia o atendimento recebido?</t>
  </si>
  <si>
    <t>A pergunta permanece neutra e direta.
RAFAEL FALA: Você garante que o cliente avalie a experiência de forma autêntica.
Com esses dados, conseguimos enxergar pontos fortes e oportunidades de melhoria com mais clareza.</t>
  </si>
  <si>
    <t>Quais aspectos positivos e negativos você percebeu no atendimento?</t>
  </si>
  <si>
    <t>Você abre espaço para o cliente apontar pontos positivos e negativos.
RAFAEL FALA: Dá mais trabalho para analisar, mas as respostas podem revelar detalhes que as escalas não mostram.
Combinando isso com perguntas fechadas, a análise fica muito mais rica.</t>
  </si>
  <si>
    <t>Rafael precisa identificar clientes para futuras campanhas.
GESTOR FALA: Vamos pedir o máximo de dados possível... CPF, telefone, endereço, renda. Alguma coisa disso vai ser útil depois.
RAFAEL FALA: Quanto mais dados, maior a responsabilidade e o risco. A LGPD fala em coletar apenas o necessário.</t>
  </si>
  <si>
    <t>Solicitar apenas dados essenciais para o objetivo da pesquisa.</t>
  </si>
  <si>
    <t>Você opta por pedir apenas alguns dados básicos realmente necessários.
RAFAEL FALA: O questionário fica mais objetivo e menos invasivo, o que ajuda na taxa de resposta.
Isso também reduz riscos legais e facilita a gestão das informações.</t>
  </si>
  <si>
    <t>Solicitar CPF, telefone, endereço completo e renda.</t>
  </si>
  <si>
    <t>Você inclui CPF, telefone, endereço completo e renda como campos obrigatórios.
CLIENTE FALA: Tudo isso só para responder uma pesquisa? Melhor não preencher.
RAFAEL FALA: O excesso de dados sensíveis aumenta abandono e o impacto de qualquer incidente de segurança.</t>
  </si>
  <si>
    <t>A33</t>
  </si>
  <si>
    <t>Solicitar apenas dados essenciais e oferecer opt-in para contato futuro.</t>
  </si>
  <si>
    <t>Você separa claramente os dados da pesquisa e um campo opcional para contato futuro.
CLIENTE FALA: Gosto de ter a opção de decidir se quero ou não receber ofertas depois.
RAFAEL FALA: Isso respeita a autonomia do cliente e facilita cumprir a LGPD.</t>
  </si>
  <si>
    <t>Rafael está revisando a pergunta sobre atendimento.
GESTOR FALA: Nosso atendimento é um diferencial... vamos destacar isso na pergunta para reforçar nossa marca.
RAFAEL FALA: Se a gente exagerar no elogio, a pergunta deixa de ser neutra. Como você quer perguntar?</t>
  </si>
  <si>
    <t>A pergunta entra de forma neutra, sem elogios embutidos.
RAFAEL FALA: Perguntas neutras permitem que o cliente responda com liberdade. Os dados ficam mais confiáveis.
Pesquisas de satisfação como o NPS também usam perguntas neutras para comparar resultados ao longo do tempo.</t>
  </si>
  <si>
    <t>A30</t>
  </si>
  <si>
    <t>Você gostou do nosso excelente atendimento?</t>
  </si>
  <si>
    <t>A pergunta já chama o atendimento de excelente.
RAFAEL FALA: Fico até desconfortável em dizer que não gostei, parece que 'estraga' o elogio deles.
Os resultados vão parecer melhores do que a realidade e podem mascarar problemas sérios.</t>
  </si>
  <si>
    <t>A51</t>
  </si>
  <si>
    <t>Como você avalia o atendimento recebido em relação às suas expectativas?</t>
  </si>
  <si>
    <t>Você passa a comparar atendimento e expectativas.
RAFAEL FALA: Assim, dá para saber se o problema está no serviço ou na expectativa criada pela empresa.
É um tipo de pergunta comum em pesquisas mais avançadas.</t>
  </si>
  <si>
    <t>A equipe que entender por que alguns clientes deixam de concluir compras no site.                                                                                                                                                                                                                            GESTOR FALA: Pensei el questionar: Você concorda que nosso sistema é rápido e fácil de usar? O que achas Rafael?                                                                                                                                                                                                                             RAFAEL FALA: Acredito que talvez essa pergunta influencie a resposta do cliente. Quem sabe podemos utilizar:</t>
  </si>
  <si>
    <t>Como você avalia sua experiência ao utilizar o sistema?</t>
  </si>
  <si>
    <t>A nova pergunta reduz viés e permite respostas mais honestas.                                                                  RAFAEL FALA: Esse tipo de pergunta trará dados reais, com percepção real, que irão ajudar a identificar problemas reais na experiência do usuário.</t>
  </si>
  <si>
    <t>A36</t>
  </si>
  <si>
    <t>Como você avalia a rapidez e a facilidade ao utilizar o sistema?</t>
  </si>
  <si>
    <t>Com essa pergunta os clientes tendem a responder de forma induzida.                                                         RAFAEL FALA: Esse tipo de pergunta trará dados que podem fazer a empresa interpretá-los de maneira equivocada e deixar de corrigir falhas importantes do sistema.</t>
  </si>
  <si>
    <t>Você concorda que nosso sistema é fácil de usar?</t>
  </si>
  <si>
    <t>Ao retirar a palavra rápido, tem-se a impressão de melhora, mas isso não ocorre na prática.                                                          RAFAEL FALA: A pergunta ainda é indutiva, além de levar a resposta dicotômica de sim ou não. Esse tipo de pergunta tráz viés para a pesquisa e dados fragilizados para a posterior análise.</t>
  </si>
  <si>
    <t>Agora é hora de ver quais são os hábitos de compra dos clientes para personalizar campanhas promocionais da empresa.
GESTOR FALA: Vamos precisar de toda a informação do nosso consumidor, como os seus dados de navegação e compras.
RAFAEL FALA: A intenção é boa, mas vamos ver qual a melhor forma de buscar a autoriação para usar esses dados. Qual forma você optaria?</t>
  </si>
  <si>
    <t>Você aceita receber promoções personalizadas com base nas informações que coletamos sobre você?</t>
  </si>
  <si>
    <t>O cliente não entende exatamente quais dados foram coletados nem como serão utilizados.
JURÍDICO FALA: A pergunta não pede autorização para a utilização dos dados, e sim para o envio de promoção. Essa falta de clareza pode comprometer a validade do consentimento e gerar riscos éticos e jurídicos para a empresa.</t>
  </si>
  <si>
    <t>A46</t>
  </si>
  <si>
    <t>Você gostaria de receber promoções personalizadas?</t>
  </si>
  <si>
    <t>A pergunta reduz parte do problema, mas não explica que haverá tratamento de dados pessoais.
RAFAEL FALA: Apesar de parecer inofensiva, a pergunta não garante transparência suficiente sobre o uso das informações do consumidor.</t>
  </si>
  <si>
    <t>Você autoriza o uso dos seus dados de navegação e histórico de compras para personalização de ofertas e campanhas promocionais?</t>
  </si>
  <si>
    <t>A pergunta informa claramente a finalidade do uso dos dados e solicita consentimento explícito do cliente.
JURÍDICO FALA: Esse modelo atende aos princípios da transparência e do consentimento previstos na LGPD, além de gerar mais confiança na relação com o consumidor.</t>
  </si>
  <si>
    <t>A equipe de pesquisa está animada para utilizar o apoio da IA nas suas análises. 
GESTOR FALA: A equipe deseja utilizar inteligência artificial para analisar automaticamente comentários de clientes sobre a experiência de compra no site.
Pensei em utilizar uma IA para classificar automaticamente os comentários como positivos ou negativos sem revisão humana. O que achas Rafael?
RAFAEL FALA: Acredito que a IA pode ajudar bastante, mas talvez seja importante avaliar os riscos de interpretações equivocadas ou fora de contexto. Como lidar com essa situação?</t>
  </si>
  <si>
    <t>Considerar que a IA consegue analisar perfeitamente os comentários dos clientes sem necessidade de revisão humana.</t>
  </si>
  <si>
    <t>A equipe passa a confiar excessivamente na tecnologia e ignora possíveis erros de interpretação.
RAFAEL FALA: Esse pensamento pode levar a decisões equivocadas, principalmente quando existem ironias, emoções ou contextos complexos nas respostas. A IA não possui conhecimento sobre outros fatores que devem ser considerados em uma decisão sozinha. Você poderá informar todos os detalhes, mas sempre deverá realizar uma verificação (humana) sobre o que ela trouxe.</t>
  </si>
  <si>
    <t>Utilizar a IA para apoiar a análise dos comentários dos clientes sem substituir a avaliação humana.</t>
  </si>
  <si>
    <t>Aqui a IA é utilizada como apoio, o que é o esperado. 
RAFAEL FALA: Esse tipo de abordagem permite análises mais confiáveis e reduz interpretações erradas sobre o comportamento do consumidor. A IA deve apoiar a tomada de decisão, mas não atuar de forma totalmente autônoma.</t>
  </si>
  <si>
    <t>Utilizar a IA apenas para tabular os dados.</t>
  </si>
  <si>
    <t>Essa pode ser considerada uma boa opção, mas não ótima.                                                                                   RAFAEL FALA: A IA pode auxiliar ainda mais, ela pode ser suporte para a análise e conferência também. O que não podemos fazer é substituir por completo seu uso.</t>
  </si>
  <si>
    <t>O gestor que o feedback rápido dos seus clientes. 
CLIENTE FALA: O formulário estava rápido, mas algumas perguntas pareciam muito vagas.
GESTOR FALA: Qual pergunta seria a adequada pensando em ter uma pesquisa rápida, com perguntas que apresentem qualidade?</t>
  </si>
  <si>
    <t>Qual característica do produto mais chamou sua atenção?</t>
  </si>
  <si>
    <t>A pergunta é simples, rápida e produz informações relevantes sobre percepção do consumidor.
RAFAEL FALA: Aqui cabe o cuidado de abordar a pergunta na forma correta, dependendo da característica da pesquisa, exemplo entrevista ou formulário. Se formulário, é indicado trazer opções para a marcação, e entrevista indagar para obter uma resposta mais completa. Assim conseguimos dados mais estratégicos sem tornar a pesquisa cansativa.</t>
  </si>
  <si>
    <t>Explique em detalhes sua opinião sobre design, embalagem, funcionalidade, preço, qualidade e expectativa de uso do produto.</t>
  </si>
  <si>
    <t>A complexidade da pergunta reduz o engajamento dos participantes. 
RAFAEL FALA: A pergunta pede que seja respondido com detalhes, mas pode ser que o respondente não aborde os detalhes. Caso o pesquisador não faça outras indagações, essa resposta poderá ser vaga. Quando a profundidade do termo é excessiva, a pesquisa perde eficiência operacional e pode comprometer a taxa de resposta.</t>
  </si>
  <si>
    <t>O que você achou do produto?</t>
  </si>
  <si>
    <t>Atenção! A pergunta é ampla e fácil de responder, mas pode gerar respostas genéricas. 
RAFAEL FALA: Ela não aprofunda aspectos importantes do comportamento do consumidor, limitando a análise estratégica dos dados.</t>
  </si>
  <si>
    <t>Agora eles se preparam para entender a percepção dos consumidores sobre a embalagem e o prazo de entrega dos produtos.
GESTOR FALA: Vamos ir direto ao ponto,  não podemos ter pesquisas muito demoradas, então vamos fazer menos perguntas. 
RAFAEL FALA: Talvez tenhamos um problema aí, estamos avaliando dois assuntos. Como você elaboraria essa questão?</t>
  </si>
  <si>
    <t>Duas perguntas separadas: “Como você avalia a embalagem do produto?” e “Como você avalia o prazo de entrega?”</t>
  </si>
  <si>
    <t>Separando os temas, a empresa consegue identificar exatamente onde estão os problemas.
RAFAEL FALA: Isso melhora a precisão dos dados e facilita a tomada de decisão pela equipe logística e comercial.</t>
  </si>
  <si>
    <t>Como você avalia a embalagem e a entrega do produto?</t>
  </si>
  <si>
    <t>A pergunta apresenta linguagem imparcial e não influencia diretamente a resposta do cliente. 
RAFAEL FALA: Apesar da linguagem neutra, ela reúne dois aspectos diferentes na mesma questão. Essa formulação reduz o viés da pesquisa, mas ainda pode dificultar a interpretação dos resultados, já que o cliente pode ter opiniões diferentes sobre a embalagem e sobre a entrega.</t>
  </si>
  <si>
    <t>Nossa embalagem bonita e entrega rápida atenderam suas expectativas?</t>
  </si>
  <si>
    <t>Essa pergunta parece ótima, resume tudo em uma pergunta. 
RAFAEL FALA: Muito cuidado! Além de juntar dois temas, a pergunta utiliza termos positivos que influenciam a resposta.
Isso aumenta o viés e reduz a confiabilidade da pesquisa.</t>
  </si>
  <si>
    <t>Chega o momento de armazenar de forma segura todos os dados coletados.  
GESTOR FALA: A empresa deseja melhorar sua política de privacidade após reclamações de consumidores.
RAFAEL FALA: Precisamos informar também nas nossas pesquisas por quanto tempo os dados serão armazenados. Qual a melhor forma de informar ao consumidor sodre isso?</t>
  </si>
  <si>
    <t>Suas informações serão arquivadas para futuras análises.</t>
  </si>
  <si>
    <t>Com essa frase o cliente não sabe quais informações serão armazenadas nem por quanto tempo.
RAFAEL FALA: Esse modelo de frase é genérico e pode gerar questionamentos sobre excesso de retenção de dados. Além disso, ele não apresenta prazo de armazenamento, informações sobre quem terá acesso. Isso pode trazer grandes problemas jurídicos e insatisfação sobre a forma como a empresa lida com dados de seus clientes.</t>
  </si>
  <si>
    <t>A54</t>
  </si>
  <si>
    <t xml:space="preserve">Os dados coletados em nossas pesquisas serão armazeados por 10 anos, em formato digital, após esse prazo eles serão corretamente descartados e inutilizados. Até lá, o acesso a eles é restrito aos nossos pesquisadores. </t>
  </si>
  <si>
    <t>Essa é uma das formas adequadas de apresentar ao consumidor o tratamento sobre os dados coletados. 
RAFAEL FALA: Ao incluir essa informação no Termo de Consentimeto, a empresa deixa claro para o consumidor respondente quem terá acesso àquelas informações, qual prazo elas poderão ser utilizadas. Isso garante a confiabilidade do respondente para ser claro e verdadeiro em suas respostas.</t>
  </si>
  <si>
    <t>Os dados obtidos na pesquisa serão armazenados por até 12 meses.</t>
  </si>
  <si>
    <t>A frase informa o prazo máximo de armazenamento.
RAFAEL FALA: Ao incluir essa informação no Termo de Consentimeto, estamos demonstrando responsabilidade no tratamento das informações e isso reforça a confiança do consumidor.</t>
  </si>
  <si>
    <t>A equipe pretende utilizar IA para definir automaticamente campanhas promocionais.
GESTOR FALA: A IA consegue criar campanhas com base nos dados dos consumidores. Será que precisamos mesmo revisar as sugestões?
RAFAEL FALA: Talvez seja interessante avaliar até que ponto a decisão automatizada pode substituir a análise humana.</t>
  </si>
  <si>
    <t>Podemos combinar as sugestões da IA com a análise estratégica da equipe de marketing.</t>
  </si>
  <si>
    <t>A empresa utiliza a IA como ferramenta de apoio, mantendo o pensamento crítico dos profissionais.
RAFAEL FALA: Essa escolha ajuda a equilibrar tecnologia e experiência humana, aumentando a qualidade das decisões.</t>
  </si>
  <si>
    <t>Se a IA sugeriu a campanha, então ela certamente é a melhor opção, correto?</t>
  </si>
  <si>
    <t>A equipe deixa de questionar possíveis erros, vieses ou limitações da inteligência artificial. Muita atenção aqui!
RAFAEL FALA: Cuidado!!!! Confiar cegamente na IA pode gerar campanhas inadequadas e desconectadas da realidade dos consumidores.</t>
  </si>
  <si>
    <t>A IA pode ajudar na criação de campanhas.</t>
  </si>
  <si>
    <t>Essa é uma boa escolha, vê a IA como ferramenta.
RAFAEL FALA: Essa é a forma esperada de uso da IA, como ferramenta, como pponto de ajuda. Essa sua escolha mostra que você compreende o uso ético da IA.</t>
  </si>
  <si>
    <t>Rafael e os colegas estão elaborando o questionário sobre o sistema.
COLEGA FALA:Podemos perguntar: “Você percebeu melhoria na usabilidade e na navegabilidade da interface?”
GESTOR FALA: Boa ideia. Rafael, o que acha?
RAFAEL FALA: Talvez alguns clientes não entendam esses termos técnicos. Qual seria a pergunta ideal?</t>
  </si>
  <si>
    <t>A usabilidade do aplicativo foi satisfatória?</t>
  </si>
  <si>
    <t>Parte dos clientes pode não compreender o significado de “usabilidade”.
RAFAEL FALA: Isso compromete a qualidade das respostas e aumenta o risco de interpretações erradas.</t>
  </si>
  <si>
    <t>Em uma escala de 1 a 5, responda conforme sua concordância para a afirmativa: O aplicativo foi fácil de utilizar durante minha compra.</t>
  </si>
  <si>
    <t>A pergunta utiliza linguagem simples e escala e afirmativa, e talvez isso possa confundir pelo caráter positivo da pergunta.  
RAFAEL FALA: Apesar da pergunta apresentar positividade, dizendo que foi fácil usar o aplicativo, a escala permite que o respondente discorde totalmente da afirmativa. Quanto mais clara for a pergunta, maior a chance de obtermos respostas consistentes.</t>
  </si>
  <si>
    <t>Você identificou falhas na navegabilidade responsiva da plataforma?</t>
  </si>
  <si>
    <t>A linguagem excessivamente técnica dificulta o entendimento do cliente.
RAFAEL FALA: Quando o consumidor não entende a pergunta, pode ser que ele não consiga respondê-la. Assim ou teremos uma falta de resposta, ou até mesmo respostas equivocadas.</t>
  </si>
  <si>
    <t>Um cliente parece preocupado com o uso de seus dados nas pesquisas.
CLIENTE FALA: Minhas respostas vão aparecer com meu nome?
GESTOR FALA: Boa pergunta. Como podemos deixar isso mais ético e transparente?</t>
  </si>
  <si>
    <t>Informar que as respostas poderão utilizar de sua identificação, como o nome, para melhorar os serviços.</t>
  </si>
  <si>
    <t>O cliente pode interpretar que suas informações pessoais serão expostas. Essa não é a forma adequada de se tratar. 
RAFAEL FALA: Essa falta de clareza pode reduzir a participação e comprometer a percepção ética da empresa. Dados senvíveis como o nome não podem ser expostos ou utilizados indevidamente.</t>
  </si>
  <si>
    <t>FIM VER</t>
  </si>
  <si>
    <t>Questionar se o cliente quer participar da pesquisa.</t>
  </si>
  <si>
    <t>Apesar da pergunta convidar para participação, ela não esclarece como os dados serão tratados.
RAFAEL FALA: Mesmo sendo cordial, ainda faltam informações importantes sobre privacidade e proteção dos dados do participante. Essa ação não traz as respostas que o cliente precisa, afinal ele questionou se seu nome seria visível.</t>
  </si>
  <si>
    <t>Informar que as respostas serão analisadas de forma anônima. E quesquinar se ele deseja seguir com a participação na pesquisa.</t>
  </si>
  <si>
    <t>O cliente sente mais segurança ao responder a pesquisa.
RAFAEL FALA: Garantir anonimização aumenta a confiabilidade dos dados e incentiva respostas mais sinceras. Ainda está de acordo com a LGPD e as questões éticas da pesquisa de marketing.</t>
  </si>
  <si>
    <t>F1</t>
  </si>
  <si>
    <t>FinalID</t>
  </si>
  <si>
    <t>Titulo</t>
  </si>
  <si>
    <t>TextoAluno</t>
  </si>
  <si>
    <t>Consequência por falta de ética (vazamento de dados)</t>
  </si>
  <si>
    <t>F2</t>
  </si>
  <si>
    <t>Consequência por falta de qualidade (Dados enviesados/inúteis)</t>
  </si>
  <si>
    <t>F3</t>
  </si>
  <si>
    <t>Questionário rejeitado</t>
  </si>
  <si>
    <t>F4</t>
  </si>
  <si>
    <t>Projeto aprovado com ressalvas</t>
  </si>
  <si>
    <t>F5</t>
  </si>
  <si>
    <t>Projeto robusto e ético</t>
  </si>
  <si>
    <t>TipoBloco</t>
  </si>
  <si>
    <t>Texto</t>
  </si>
  <si>
    <t>Abertura</t>
  </si>
  <si>
    <t>Fechamento</t>
  </si>
  <si>
    <t>Rafael e o gestor se reúnem para analisar o conjunto das suas decisões na pesquisa.
RAFAEL FALA: Vamos olhar o que você fez em termos de qualidade das perguntas, ética, LGPD, uso de IA e equilíbrio entre pressa e profundidade.
SISTEMA OPÇÃO (botão clicável): Concluir projeto e ver o desfecho</t>
  </si>
  <si>
    <t>A pesquisa gera alguns dados úteis, mas também deixa lacunas importantes.
Conseguimos enxergar algumas coisas, mas em outras ainda estamos no escuro. Faltou aprofundar em alguns pontos.
Você tomou decisões importantes certas, mas também cedeu em alguns momentos à pressa ou à falta de transparência.
Rever essas escolhas pode deixar seu próximo projeto bem mais robusto.</t>
  </si>
  <si>
    <t>Sua pesquisa foi elaborada e aplicada com cuidado e responsabilidade.
Com esses dados, consigo tomar decisões com segurança e justificar as campanhas para a diretoria.
Você equilibrou qualidade das perguntas, ética, LGPD e uso crítico de IA. Essa é a postura de um profissional da área.
Parabéns. Seu projeto é um exemplo de como dados bem coletados e analisados fazem diferença na prática.</t>
  </si>
  <si>
    <t>Participantes começam a reclamar nas redes que não entenderam o objetivo da pesquisa nem o uso dos dados.
Recomendamos suspender o questionário até revisar a introdução, o consentimento e a coleta de dados sensíveis.
Ética em pesquisa se faz no dia a dia, com clareza, consentimento e respeito ao respondente.
Seu questionário foi rejeitado internamente. Refaça o simulador com foco em transparência.</t>
  </si>
  <si>
    <t>A pesquisa é concluída, mas os dados se mostram superficiais e enviesados.
Os relatórios parecem positivos, mas não consigo tomar decisões claras com essas informações.
Perguntas genéricas, duplas e tendenciosas deixam os dados bonitos no papel, mas fracos na prática.
Será preciso refazer a pesquisa com perguntas mais claras, específicas e neutras.</t>
  </si>
  <si>
    <t>Meses depois, a base que armazenava dados pessoais e sensíveis sofre um incidente de segurança.
A imprensa está repercutindo o vazamento. Estão questionando por que coletamos tantos dados dos clientes.
Quando a gente coleta mais dados sensíveis do que precisa, qualquer falha vira um desastre.
Seu projeto foi interrompido após o incidente. Refaça o simulador priorizando minimização de dados e transparência.</t>
  </si>
  <si>
    <t>Contexto: Rafael precisa elaborar uma pesquisa sobre o comportamento do consumidor para a Conecta+.
GESTOR FALA: Rafael, precisamos entender melhor o comportamento dos nossos clientes. Quero uma pesquisa rápida, mas que ajude nas próximas campanhas.
RAFAEL FALA: E é aí que você entra. Vou te mostrar o que já temos, e você me ajuda nas decisões sobre como montar esse questionário.
SISTEMA NARRADOR: Você é estagiário na Conecta+ e vai apoiar Rafael na construção da pesquisa. Ética, sigilo e LGPD são inegociáveis.</t>
  </si>
  <si>
    <t>CategoriaID</t>
  </si>
  <si>
    <t>NomeCategoria</t>
  </si>
  <si>
    <t>C1</t>
  </si>
  <si>
    <t>C2</t>
  </si>
  <si>
    <t>C3</t>
  </si>
  <si>
    <t>C4</t>
  </si>
  <si>
    <t>CategoriaNome</t>
  </si>
  <si>
    <t>TipoValor</t>
  </si>
  <si>
    <t>ValorNecessario</t>
  </si>
  <si>
    <t>FA1</t>
  </si>
  <si>
    <t>Exemplo de título</t>
  </si>
  <si>
    <t>Se não for ter finais antecipados é só não preencher essa página</t>
  </si>
  <si>
    <t>GrupoN</t>
  </si>
  <si>
    <t>TODAS_AS_LINHAS</t>
  </si>
  <si>
    <t>SOMA_TODAS</t>
  </si>
  <si>
    <t>Auxiliar_TipoBloco</t>
  </si>
  <si>
    <t>INSTRUÇÕES DE PREENCHIMENTO DA ÁRVORE DE DECISÃO</t>
  </si>
  <si>
    <t>Esta planilha organiza a árvore de decisão do simulador. Ela deve ser preenchida com perguntas, alternativas, consequências, caminhos e regras de finalização.</t>
  </si>
  <si>
    <t>O objetivo é permitir que o simulador leia as informações da planilha e apresente ao estudante um fluxo de decisões com diferentes consequências e finais.</t>
  </si>
  <si>
    <t>A planilha possui as seguintes abas:</t>
  </si>
  <si>
    <t>Aba</t>
  </si>
  <si>
    <t>Função</t>
  </si>
  <si>
    <t>INSTRUCOES</t>
  </si>
  <si>
    <t>Explica como preencher e revisar a planilha.</t>
  </si>
  <si>
    <t>CATEGORIAS</t>
  </si>
  <si>
    <t>Lista as categorias usadas para pontuar as escolhas do estudante.</t>
  </si>
  <si>
    <t>ARVORE</t>
  </si>
  <si>
    <t>Contém as perguntas, alternativas, consequências e caminhos do simulador.</t>
  </si>
  <si>
    <t>FINALIZACOES</t>
  </si>
  <si>
    <t>Define as regras para os finais exibidos ao estudante.</t>
  </si>
  <si>
    <t>ABERTURA_FECHAMENTO</t>
  </si>
  <si>
    <t>Contém textos de abertura e fechamento geral do simulador.</t>
  </si>
  <si>
    <t>FINAIS_ANTECIPADOS</t>
  </si>
  <si>
    <t>Contém finais que encerram o simulador antes da finalização por regra.</t>
  </si>
  <si>
    <t>A aba CATEGORIAS lista os eixos de análise usados para classificar as decisões do estudante.</t>
  </si>
  <si>
    <t>Cada categoria deve ter um nome único. Esse nome será usado nas abas ARVORE e FINALIZACOES.</t>
  </si>
  <si>
    <t>Exemplo:</t>
  </si>
  <si>
    <t>Descrição</t>
  </si>
  <si>
    <t>Decisões relacionadas ao uso ético de dados, consentimento, privacidade e transparência.</t>
  </si>
  <si>
    <t>Decisões relacionadas à clareza, profundidade e utilidade das perguntas.</t>
  </si>
  <si>
    <t>Decisões relacionadas à análise, revisão e validação do uso de IA.</t>
  </si>
  <si>
    <t>Decisões relacionadas ao equilíbrio entre rapidez e qualidade da pesquisa.</t>
  </si>
  <si>
    <t>Atenção: escreva o nome da categoria sempre da mesma forma em todas as abas. Por exemplo, se a categoria foi cadastrada como “Ética/LGPD”, use exatamente esse texto na aba ARVORE e na aba FINALIZACOES.</t>
  </si>
  <si>
    <t>As linhas seguintes do mesmo bloco, usadas para as opções B e C, devem deixar em branco os campos que pertencem à pergunta principal, como PerguntaID, Categoria e Pergunta.</t>
  </si>
  <si>
    <t>Campos da aba ARVORE</t>
  </si>
  <si>
    <t>Campo</t>
  </si>
  <si>
    <t>Como preencher</t>
  </si>
  <si>
    <t>Identificador único da pergunta. Exemplo: A2, A5, A39.</t>
  </si>
  <si>
    <t>Categoria principal relacionada à pergunta. Deve existir na aba CATEGORIAS.</t>
  </si>
  <si>
    <t>Texto da situação apresentada ao estudante.</t>
  </si>
  <si>
    <t>Letra da alternativa. Exemplo: A, B ou C.</t>
  </si>
  <si>
    <t>Texto do botão ou alternativa escolhida pelo estudante.</t>
  </si>
  <si>
    <t>Consequência exibida após a escolha.</t>
  </si>
  <si>
    <t>Classificação da escolha: Bom, Ruim ou Neutra.</t>
  </si>
  <si>
    <t>Indica para onde o estudante será direcionado após a escolha.</t>
  </si>
  <si>
    <t>Exemplo de preenchimento da aba ARVORE</t>
  </si>
  <si>
    <t>O gestor quer rapidez nesse projeto...</t>
  </si>
  <si>
    <t>Consequência da escolha A.</t>
  </si>
  <si>
    <t>Consequência da escolha B.</t>
  </si>
  <si>
    <t>Buscar um equilíbrio entre rapidez e profundidade.</t>
  </si>
  <si>
    <t>Consequência da escolha C.</t>
  </si>
  <si>
    <t>Neste exemplo, as opções B e C pertencem à pergunta A2. Por isso, os campos PerguntaID, Categoria e Pergunta ficam vazios nas linhas das opções B e C.</t>
  </si>
  <si>
    <t>Valor no Caminho</t>
  </si>
  <si>
    <t>Significado</t>
  </si>
  <si>
    <t>A5, A8, A39 etc.</t>
  </si>
  <si>
    <t>Leva o estudante para outra pergunta da aba ARVORE.</t>
  </si>
  <si>
    <t>FIM</t>
  </si>
  <si>
    <t>Encerra a árvore e calcula o final com base nas regras da aba FINALIZACOES.</t>
  </si>
  <si>
    <t>F1, F2, F3 etc.</t>
  </si>
  <si>
    <t>Leva diretamente para um final específico da aba FINALIZACOES.</t>
  </si>
  <si>
    <t>FA1, FA2 etc.</t>
  </si>
  <si>
    <t>Leva para um final antecipado da aba FINAIS_ANTECIPADOS.</t>
  </si>
  <si>
    <t>Interpretação</t>
  </si>
  <si>
    <t>Depois dessa escolha, o estudante vai para a pergunta A39.</t>
  </si>
  <si>
    <t>Depois dessa escolha, o estudante vai para a pergunta A5.</t>
  </si>
  <si>
    <t>Depois dessa escolha, o simulador encerra e calcula o final por regra.</t>
  </si>
  <si>
    <t>Depois dessa escolha, o simulador encerra em um final antecipado.</t>
  </si>
  <si>
    <t>Atenção: se o Caminho apontar para uma pergunta, o PerguntaID correspondente precisa existir na aba ARVORE.</t>
  </si>
  <si>
    <t>Escolha adequada ou positiva dentro do contexto.</t>
  </si>
  <si>
    <t>Escolha inadequada, incompleta ou problemática dentro do contexto.</t>
  </si>
  <si>
    <t>Escolha intermediária, sem impacto claramente positivo ou negativo.</t>
  </si>
  <si>
    <t>O TipoEscolha é usado para pontuar as categorias e calcular os finais.</t>
  </si>
  <si>
    <t>As linhas seguintes podem ser usadas para complementar as condições daquele mesmo final. Quando houver uma linha totalmente vazia, o bloco daquele final é encerrado.</t>
  </si>
  <si>
    <t>Campos da aba FINALIZACOES</t>
  </si>
  <si>
    <t>Identificador único do final. Exemplo: F1, F2, F3.</t>
  </si>
  <si>
    <t>Título exibido no final.</t>
  </si>
  <si>
    <t>Texto apresentado ao estudante no encerramento.</t>
  </si>
  <si>
    <t>Tipo de regra usada para ativar o final.</t>
  </si>
  <si>
    <t>Categoria que será avaliada. Deve existir na aba CATEGORIAS.</t>
  </si>
  <si>
    <t>Tipo de escolha que será contado. Exemplo: Bom, Ruim ou Neutra.</t>
  </si>
  <si>
    <t>Quantidade necessária para ativar o final.</t>
  </si>
  <si>
    <t>Coluna auxiliar usada apenas para apoiar a formatação visual. Não deve ser editada manualmente.</t>
  </si>
  <si>
    <t>Use sempre os nomes exatamente assim:</t>
  </si>
  <si>
    <t>QUALQUER_LINHA</t>
  </si>
  <si>
    <t>Exemplo de SOMA_TODAS</t>
  </si>
  <si>
    <t>Consequência por falta de qualidade</t>
  </si>
  <si>
    <t>Texto do final.</t>
  </si>
  <si>
    <t>Neste exemplo, o simulador soma os pontos ruins das categorias “Uso crítico da IA” e “Qualidade das perguntas”. Se a soma for igual ou maior que 5, o final pode ser exibido.</t>
  </si>
  <si>
    <t>Exemplo com mais categorias</t>
  </si>
  <si>
    <t>Neste exemplo, o simulador soma os pontos bons das quatro categorias listadas. Se a soma for igual ou maior que 10, o final pode ser exibido.</t>
  </si>
  <si>
    <t>Exemplo de QUALQUER_LINHA</t>
  </si>
  <si>
    <t>Neste exemplo, o final pode ser exibido se qualquer uma das condições for atingida:</t>
  </si>
  <si>
    <t>Exemplo de TODAS_AS_LINHAS</t>
  </si>
  <si>
    <t>Consequência por falta de ética</t>
  </si>
  <si>
    <t>Neste exemplo, o final só será exibido se todas as condições forem atingidas:</t>
  </si>
  <si>
    <t>Não preencha:</t>
  </si>
  <si>
    <t>Exemplo de final sem condição</t>
  </si>
  <si>
    <t>Neste exemplo, o final F4 funciona como alternativa padrão caso nenhum outro final por regra seja ativado.</t>
  </si>
  <si>
    <t>Primeira linha do final</t>
  </si>
  <si>
    <t>Linhas seguintes do mesmo bloco</t>
  </si>
  <si>
    <t>Preencher CategoriaNome, TipoValor e ValorNecessario.</t>
  </si>
  <si>
    <t>Preencher apenas CategoriaNome.</t>
  </si>
  <si>
    <t>Preencher CategoriaNome, TipoValor e ValorNecessario em cada linha usada.</t>
  </si>
  <si>
    <t>Final sem condição</t>
  </si>
  <si>
    <t>Preencher FinalID, Titulo e TextoAluno.</t>
  </si>
  <si>
    <t>Não preencher regras.</t>
  </si>
  <si>
    <t>Cada final antecipado deve ter um identificador próprio, como FA1, FA2, FA3 etc.</t>
  </si>
  <si>
    <t>Final antecipado exemplo</t>
  </si>
  <si>
    <t>Texto exibido ao estudante.</t>
  </si>
  <si>
    <t>Para usar um final antecipado, informe o identificador dele no campo Caminho da aba ARVORE.</t>
  </si>
  <si>
    <t>Nesse caso, ao escolher a opção A, o estudante será levado diretamente para o final antecipado FA1.</t>
  </si>
  <si>
    <t>Preencha os textos conforme a estrutura definida na própria aba.</t>
  </si>
  <si>
    <t>Loops podem acontecer quando uma pergunta leva para outra e, em seguida, o fluxo retorna para a pergunta anterior.</t>
  </si>
  <si>
    <t>FA0</t>
  </si>
  <si>
    <t>A aba ARVORE contém o fluxo principal da árvore de decisão. Cada pergunta ocupa um bloco de linhas. Normalmente, uma pergunta possui três alternativas: A, B e C. A primeira linha do bloco deve conter:</t>
  </si>
  <si>
    <t>O campo Caminho define o próximo passo do estudante depois de cada escolha. Ele pode receber diferentes tipos de valor:</t>
  </si>
  <si>
    <t>O campo TipoEscolha classifica cada alternativa escolhida pelo estudante. Use os seguintes valores:</t>
  </si>
  <si>
    <t>A aba FINALIZACOES define quais finais podem ser exibidos ao estudante ao encerrar a árvore de decisão. Cada final deve iniciar em uma linha com os campos principais preenchidos:</t>
  </si>
  <si>
    <t>* CategoriaNome pode ser preenchido em várias linhas, uma para cada categoria que entra na soma.</t>
  </si>
  <si>
    <t>* TipoValor deve ser preenchido apenas na primeira linha do final.</t>
  </si>
  <si>
    <t>* ValorNecessario deve ser preenchido apenas na primeira linha do final.</t>
  </si>
  <si>
    <t>* Nas linhas seguintes do mesmo bloco, TipoValor e ValorNecessario devem ficar vazios.</t>
  </si>
  <si>
    <t>Use SOMA_TODAS quando o final depender da soma de mais de uma categoria. Nesse tipo de bloco:</t>
  </si>
  <si>
    <t>* FinalID</t>
  </si>
  <si>
    <t>* Titulo</t>
  </si>
  <si>
    <t>* TextoAluno</t>
  </si>
  <si>
    <t>* TipoBloco, quando o final tiver regra</t>
  </si>
  <si>
    <t>* SOMA_TODAS</t>
  </si>
  <si>
    <t>* QUALQUER_LINHA</t>
  </si>
  <si>
    <t>* TODAS_AS_LINHAS</t>
  </si>
  <si>
    <t>TipoBloco: SOMA_TODAS</t>
  </si>
  <si>
    <t>TipoBloco: QUALQUER_LINHA</t>
  </si>
  <si>
    <t>Tipos de escolha</t>
  </si>
  <si>
    <t>Campo Caminho</t>
  </si>
  <si>
    <t>Aba CATEGORIAS</t>
  </si>
  <si>
    <t>Aba ARVORE</t>
  </si>
  <si>
    <t>Estrutura geral da planilha</t>
  </si>
  <si>
    <t>Aba FINALIZACOES</t>
  </si>
  <si>
    <t>Tipos de bloco da aba FINALIZACOES</t>
  </si>
  <si>
    <t>Use QUALQUER_LINHA quando basta uma das condições do bloco ser atingida para que o final seja exibido. Nesse tipo de bloco, cada linha de regra deve ter:</t>
  </si>
  <si>
    <t>* CategoriaNome</t>
  </si>
  <si>
    <t>* TipoValor</t>
  </si>
  <si>
    <t>* ValorNecessario</t>
  </si>
  <si>
    <t>* Ética/LGPD tiver pelo menos 3 escolhas ruins; ou</t>
  </si>
  <si>
    <t>* Uso crítico da IA tiver pelo menos 4 escolhas ruins.</t>
  </si>
  <si>
    <t>TipoBloco: TODAS_AS_LINHAS</t>
  </si>
  <si>
    <t>Use TODAS_AS_LINHAS quando todas as condições do bloco precisam ser atingidas para que o final seja exibido. Nesse tipo de bloco, cada linha de regra deve ter:</t>
  </si>
  <si>
    <t>* Ética/LGPD tiver pelo menos 3 escolhas ruins; e</t>
  </si>
  <si>
    <t>* Qualidade das perguntas tiver pelo menos 2 escolhas ruins.</t>
  </si>
  <si>
    <t>Preencha</t>
  </si>
  <si>
    <t>Um final pode ficar sem TipoBloco e sem regras. Nesse caso, ele funciona como final de fallback, ou seja, pode ser usado quando nenhum outro final com regra for ativado. Nesse tipo de final:</t>
  </si>
  <si>
    <t>Formatação visual da aba FINALIZACOES</t>
  </si>
  <si>
    <t>A aba FINALIZACOES possui cores para orientar o preenchimento. As cores servem apenas como apoio visual. Elas não alteram a lógica do simulador. Regras visuais por tipo de bloco:</t>
  </si>
  <si>
    <t>Aba FINAIS_ANTECIPADOS</t>
  </si>
  <si>
    <t>A aba FINAIS_ANTECIPADOS contém finais que podem encerrar o simulador antes da finalização por regra. Eles são usados quando uma escolha específica deve interromper o fluxo imediatamente.</t>
  </si>
  <si>
    <t>Aba ABERTURA_FECHAMENTO</t>
  </si>
  <si>
    <t>A aba ABERTURA_FECHAMENTO reúne textos gerais do simulador. Ela pode conter:</t>
  </si>
  <si>
    <t>* Texto de abertura;</t>
  </si>
  <si>
    <t>* Orientações iniciais ao estudante;</t>
  </si>
  <si>
    <t>* Texto geral de encerramento;</t>
  </si>
  <si>
    <t>* Mensagens de apoio ou instruções complementares.</t>
  </si>
  <si>
    <t>Observação sobre loops</t>
  </si>
  <si>
    <t>Esse tipo de loop só deve ser mantido quando for intencional. Antes de finalizar a planilha, revise se os retornos entre perguntas fazem sentido e se não impedem o estudante de chegar a um final.</t>
  </si>
  <si>
    <t xml:space="preserve">Evite variações como “SOMA TODAS”, “Todas as linhas” ou “qualquer linha”. </t>
  </si>
  <si>
    <t xml:space="preserve">FinalID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</si>
</sst>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amily val="2"/>
    </font>
    <font>
      <sz val="11"/>
      <color rgb="FF27251E"/>
      <name val="Segoe UI"/>
      <family val="2"/>
    </font>
    <font>
      <b/>
      <sz val="11"/>
      <color theme="0"/>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name val="Calibri"/>
      <family val="2"/>
    </font>
    <font>
      <b/>
      <sz val="24"/>
      <color theme="1"/>
      <name val="Calibri"/>
      <family val="2"/>
      <scheme val="minor"/>
    </font>
    <font>
      <b/>
      <sz val="18"/>
      <color theme="1"/>
      <name val="Calibri"/>
      <family val="2"/>
      <scheme val="minor"/>
    </font>
    <font>
      <b/>
      <sz val="18"/>
      <color theme="0"/>
      <name val="Calibri"/>
      <family val="2"/>
      <scheme val="minor"/>
    </font>
    <font>
      <sz val="8"/>
      <name val="Calibri"/>
      <family val="2"/>
      <scheme val="minor"/>
    </font>
    <font>
      <b/>
      <sz val="14"/>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6"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rgb="FFE3F1EF"/>
        <bgColor indexed="64"/>
      </patternFill>
    </fill>
    <fill>
      <patternFill patternType="solid">
        <fgColor theme="8" tint="-0.249977111117893"/>
        <bgColor indexed="64"/>
      </patternFill>
    </fill>
    <fill>
      <patternFill patternType="solid">
        <fgColor theme="9"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bottom style="thin">
        <color indexed="64"/>
      </bottom>
      <diagonal/>
    </border>
  </borders>
  <cellStyleXfs count="1">
    <xf numFmtId="0" fontId="0" fillId="0" borderId="0"/>
  </cellStyleXfs>
  <cellXfs count="5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0" applyFont="1"/>
    <xf numFmtId="0" fontId="0" fillId="3" borderId="0" xfId="0" applyFill="1"/>
    <xf numFmtId="0" fontId="5" fillId="0" borderId="0" xfId="0" applyFont="1" applyBorder="1" applyAlignment="1">
      <alignment horizontal="center" vertical="center" wrapText="1"/>
    </xf>
    <xf numFmtId="0" fontId="0" fillId="0" borderId="2" xfId="0" applyBorder="1"/>
    <xf numFmtId="0" fontId="5" fillId="0" borderId="0" xfId="0" applyFont="1" applyBorder="1" applyAlignment="1">
      <alignment horizontal="left" vertical="center" wrapText="1"/>
    </xf>
    <xf numFmtId="0" fontId="0" fillId="0" borderId="0" xfId="0" applyBorder="1"/>
    <xf numFmtId="0" fontId="5" fillId="2" borderId="0" xfId="0" applyFont="1" applyFill="1" applyBorder="1" applyAlignment="1">
      <alignment horizontal="center" vertical="center" wrapText="1"/>
    </xf>
    <xf numFmtId="0" fontId="6" fillId="0" borderId="0" xfId="0" applyFont="1" applyBorder="1" applyAlignment="1">
      <alignment horizontal="center" vertical="center" wrapText="1"/>
    </xf>
    <xf numFmtId="0" fontId="7" fillId="5" borderId="2"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0" fillId="0" borderId="1" xfId="0" applyBorder="1" applyAlignment="1">
      <alignment vertical="center" wrapText="1"/>
    </xf>
    <xf numFmtId="0" fontId="0" fillId="6" borderId="1" xfId="0" applyFill="1" applyBorder="1" applyAlignment="1">
      <alignment vertical="center" wrapText="1"/>
    </xf>
    <xf numFmtId="0" fontId="3" fillId="7" borderId="1" xfId="0" applyFont="1" applyFill="1" applyBorder="1" applyAlignment="1">
      <alignment horizontal="center"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3" fillId="7" borderId="4"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0" fillId="6" borderId="4" xfId="0" applyFill="1" applyBorder="1" applyAlignment="1">
      <alignment vertical="center" wrapText="1"/>
    </xf>
    <xf numFmtId="0" fontId="0" fillId="6" borderId="3" xfId="0" applyFill="1" applyBorder="1" applyAlignment="1">
      <alignment vertical="center" wrapText="1"/>
    </xf>
    <xf numFmtId="0" fontId="8" fillId="0" borderId="0" xfId="0" applyFont="1" applyAlignment="1">
      <alignment vertical="center" wrapText="1"/>
    </xf>
    <xf numFmtId="0" fontId="0" fillId="0" borderId="0" xfId="0" applyAlignment="1">
      <alignment horizontal="left" wrapText="1"/>
    </xf>
    <xf numFmtId="0" fontId="10" fillId="5" borderId="0" xfId="0" applyFont="1" applyFill="1" applyAlignment="1">
      <alignment vertical="center" wrapText="1"/>
    </xf>
    <xf numFmtId="0" fontId="0" fillId="0" borderId="0" xfId="0" applyAlignment="1">
      <alignment wrapText="1"/>
    </xf>
    <xf numFmtId="0" fontId="0" fillId="0" borderId="0" xfId="0" applyAlignment="1">
      <alignment horizontal="left" vertical="center" wrapText="1"/>
    </xf>
    <xf numFmtId="0" fontId="9" fillId="5" borderId="0" xfId="0" applyFont="1" applyFill="1" applyAlignment="1">
      <alignment vertical="center" wrapText="1"/>
    </xf>
    <xf numFmtId="0" fontId="3" fillId="4" borderId="0" xfId="0" applyFont="1" applyFill="1" applyBorder="1" applyAlignment="1">
      <alignment horizontal="center" vertical="center" wrapText="1"/>
    </xf>
    <xf numFmtId="0" fontId="0" fillId="4" borderId="0" xfId="0" applyFill="1"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9" fillId="5" borderId="0" xfId="0" applyFont="1" applyFill="1" applyAlignment="1">
      <alignment vertical="center" wrapText="1"/>
    </xf>
    <xf numFmtId="0" fontId="0" fillId="0" borderId="0" xfId="0" applyAlignment="1">
      <alignment horizontal="left" vertical="center" wrapText="1" indent="2"/>
    </xf>
    <xf numFmtId="0" fontId="0" fillId="0" borderId="0" xfId="0" applyAlignment="1">
      <alignment horizontal="left" vertical="center" wrapText="1" indent="3"/>
    </xf>
    <xf numFmtId="0" fontId="4" fillId="0" borderId="0" xfId="0" applyFont="1" applyAlignment="1">
      <alignment horizontal="left" vertical="center" wrapText="1"/>
    </xf>
    <xf numFmtId="0" fontId="0" fillId="6" borderId="1" xfId="0" applyFill="1" applyBorder="1" applyAlignment="1">
      <alignment horizontal="center" vertical="center" wrapText="1"/>
    </xf>
    <xf numFmtId="0" fontId="0" fillId="6" borderId="4" xfId="0" applyFill="1" applyBorder="1" applyAlignment="1">
      <alignment horizontal="center" vertical="center" wrapText="1"/>
    </xf>
    <xf numFmtId="0" fontId="0" fillId="6" borderId="3" xfId="0" applyFill="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wrapText="1"/>
    </xf>
    <xf numFmtId="0" fontId="0" fillId="0" borderId="0" xfId="0" applyAlignment="1">
      <alignment horizontal="left" vertical="center" wrapText="1" indent="2"/>
    </xf>
    <xf numFmtId="0" fontId="4" fillId="0" borderId="5" xfId="0" applyFont="1" applyBorder="1" applyAlignment="1">
      <alignment wrapText="1"/>
    </xf>
    <xf numFmtId="0" fontId="0" fillId="0" borderId="5" xfId="0" applyBorder="1" applyAlignment="1">
      <alignment wrapText="1"/>
    </xf>
    <xf numFmtId="0" fontId="0" fillId="0" borderId="0" xfId="0" applyFont="1" applyAlignment="1">
      <alignment horizontal="left" vertical="center" wrapText="1" indent="2"/>
    </xf>
    <xf numFmtId="0" fontId="12" fillId="8" borderId="0" xfId="0" applyFont="1" applyFill="1" applyAlignment="1">
      <alignment vertical="center" wrapText="1"/>
    </xf>
    <xf numFmtId="0" fontId="4" fillId="5" borderId="0" xfId="0" applyFont="1" applyFill="1" applyAlignment="1">
      <alignment horizontal="left" vertical="center" wrapText="1"/>
    </xf>
    <xf numFmtId="0" fontId="4" fillId="0" borderId="0" xfId="0" applyFont="1" applyAlignment="1">
      <alignment horizontal="left" vertical="center" wrapText="1"/>
    </xf>
    <xf numFmtId="0" fontId="4" fillId="5" borderId="0" xfId="0" applyFont="1" applyFill="1" applyAlignment="1">
      <alignment horizontal="left" vertical="center" wrapText="1"/>
    </xf>
  </cellXfs>
  <cellStyles count="1">
    <cellStyle name="Normal" xfId="0" builtinId="0"/>
  </cellStyles>
  <dxfs count="10">
    <dxf>
      <fill>
        <patternFill>
          <bgColor theme="6" tint="0.79998168889431442"/>
        </patternFill>
      </fill>
      <border>
        <left/>
        <right/>
        <top style="thin">
          <color auto="1"/>
        </top>
        <bottom style="thin">
          <color auto="1"/>
        </bottom>
      </border>
    </dxf>
    <dxf>
      <fill>
        <patternFill>
          <bgColor theme="6" tint="0.79998168889431442"/>
        </patternFill>
      </fill>
      <border>
        <left/>
        <right/>
        <top style="thin">
          <color auto="1"/>
        </top>
        <bottom style="thin">
          <color auto="1"/>
        </bottom>
      </border>
    </dxf>
    <dxf>
      <fill>
        <patternFill>
          <bgColor theme="6" tint="0.79998168889431442"/>
        </patternFill>
      </fill>
      <border>
        <left/>
        <right/>
        <top style="thin">
          <color auto="1"/>
        </top>
        <bottom style="thin">
          <color auto="1"/>
        </bottom>
      </border>
    </dxf>
    <dxf>
      <fill>
        <patternFill>
          <bgColor theme="0"/>
        </patternFill>
      </fill>
    </dxf>
    <dxf>
      <fill>
        <patternFill>
          <bgColor theme="6" tint="0.79998168889431442"/>
        </patternFill>
      </fill>
      <border>
        <left/>
        <right/>
        <top style="thin">
          <color auto="1"/>
        </top>
        <bottom style="thin">
          <color auto="1"/>
        </bottom>
      </border>
    </dxf>
    <dxf>
      <fill>
        <patternFill>
          <bgColor theme="6" tint="0.79998168889431442"/>
        </patternFill>
      </fill>
      <border>
        <left/>
        <right/>
        <top style="thin">
          <color auto="1"/>
        </top>
        <bottom style="thin">
          <color auto="1"/>
        </bottom>
      </border>
    </dxf>
    <dxf>
      <fill>
        <patternFill>
          <bgColor theme="6" tint="0.79998168889431442"/>
        </patternFill>
      </fill>
      <border>
        <left/>
        <right/>
        <top style="thin">
          <color auto="1"/>
        </top>
        <bottom style="thin">
          <color auto="1"/>
        </bottom>
      </border>
    </dxf>
    <dxf>
      <fill>
        <patternFill>
          <bgColor theme="0"/>
        </patternFill>
      </fill>
    </dxf>
    <dxf>
      <fill>
        <patternFill>
          <bgColor theme="6" tint="0.79998168889431442"/>
        </patternFill>
      </fill>
      <border>
        <left/>
        <right/>
        <top style="thin">
          <color auto="1"/>
        </top>
        <bottom style="thin">
          <color auto="1"/>
        </bottom>
      </border>
    </dxf>
    <dxf>
      <fill>
        <patternFill>
          <bgColor theme="0"/>
        </patternFill>
      </fill>
    </dxf>
  </dxfs>
  <tableStyles count="0" defaultTableStyle="TableStyleMedium9" defaultPivotStyle="PivotStyleLight16"/>
  <colors>
    <mruColors>
      <color rgb="FFE3F1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J196"/>
  <sheetViews>
    <sheetView workbookViewId="0">
      <selection activeCell="E9" sqref="E9"/>
    </sheetView>
  </sheetViews>
  <sheetFormatPr defaultRowHeight="15" x14ac:dyDescent="0.25"/>
  <cols>
    <col min="1" max="1" width="27.28515625" style="2" customWidth="1"/>
    <col min="2" max="2" width="18.140625" style="2" customWidth="1"/>
    <col min="3" max="3" width="60.28515625" style="2" customWidth="1"/>
    <col min="4" max="4" width="15.42578125" style="2" customWidth="1"/>
    <col min="5" max="5" width="32.7109375" style="2" customWidth="1"/>
    <col min="6" max="6" width="43.140625" style="2" customWidth="1"/>
    <col min="7" max="7" width="91.140625" style="2" customWidth="1"/>
    <col min="8" max="16384" width="9.140625" style="2"/>
  </cols>
  <sheetData>
    <row r="1" spans="1:9" ht="31.5" x14ac:dyDescent="0.25">
      <c r="A1" s="27" t="s">
        <v>202</v>
      </c>
      <c r="B1" s="27"/>
      <c r="C1" s="27"/>
      <c r="D1" s="27"/>
      <c r="E1" s="27"/>
      <c r="F1" s="27"/>
      <c r="H1" s="1"/>
      <c r="I1" s="1"/>
    </row>
    <row r="2" spans="1:9" x14ac:dyDescent="0.25">
      <c r="A2" s="28" t="s">
        <v>203</v>
      </c>
      <c r="B2" s="28"/>
      <c r="C2" s="28"/>
      <c r="D2" s="28"/>
      <c r="E2" s="28"/>
      <c r="F2" s="28"/>
    </row>
    <row r="3" spans="1:9" x14ac:dyDescent="0.25">
      <c r="A3" s="28" t="s">
        <v>204</v>
      </c>
      <c r="B3" s="28"/>
      <c r="C3" s="28"/>
      <c r="D3" s="28"/>
      <c r="E3" s="28"/>
      <c r="F3" s="28"/>
    </row>
    <row r="5" spans="1:9" ht="23.25" x14ac:dyDescent="0.25">
      <c r="A5" s="29" t="s">
        <v>332</v>
      </c>
      <c r="B5" s="29"/>
      <c r="C5" s="29"/>
      <c r="D5" s="29"/>
      <c r="E5" s="29"/>
      <c r="F5" s="29"/>
    </row>
    <row r="6" spans="1:9" x14ac:dyDescent="0.25">
      <c r="A6" s="49" t="s">
        <v>205</v>
      </c>
      <c r="B6" s="49"/>
    </row>
    <row r="7" spans="1:9" x14ac:dyDescent="0.25">
      <c r="A7" s="23" t="s">
        <v>206</v>
      </c>
      <c r="B7" s="24"/>
      <c r="C7" s="19" t="s">
        <v>207</v>
      </c>
    </row>
    <row r="8" spans="1:9" x14ac:dyDescent="0.25">
      <c r="A8" s="25" t="s">
        <v>208</v>
      </c>
      <c r="B8" s="26"/>
      <c r="C8" s="18" t="s">
        <v>209</v>
      </c>
    </row>
    <row r="9" spans="1:9" x14ac:dyDescent="0.25">
      <c r="A9" s="20" t="s">
        <v>210</v>
      </c>
      <c r="B9" s="21"/>
      <c r="C9" s="17" t="s">
        <v>211</v>
      </c>
    </row>
    <row r="10" spans="1:9" ht="30" x14ac:dyDescent="0.25">
      <c r="A10" s="25" t="s">
        <v>212</v>
      </c>
      <c r="B10" s="26"/>
      <c r="C10" s="18" t="s">
        <v>213</v>
      </c>
    </row>
    <row r="11" spans="1:9" x14ac:dyDescent="0.25">
      <c r="A11" s="20" t="s">
        <v>214</v>
      </c>
      <c r="B11" s="21"/>
      <c r="C11" s="17" t="s">
        <v>215</v>
      </c>
    </row>
    <row r="12" spans="1:9" x14ac:dyDescent="0.25">
      <c r="A12" s="25" t="s">
        <v>216</v>
      </c>
      <c r="B12" s="26"/>
      <c r="C12" s="18" t="s">
        <v>217</v>
      </c>
    </row>
    <row r="13" spans="1:9" ht="30" x14ac:dyDescent="0.25">
      <c r="A13" s="20" t="s">
        <v>218</v>
      </c>
      <c r="B13" s="21"/>
      <c r="C13" s="17" t="s">
        <v>219</v>
      </c>
    </row>
    <row r="15" spans="1:9" ht="23.25" customHeight="1" x14ac:dyDescent="0.25">
      <c r="A15" s="29" t="s">
        <v>330</v>
      </c>
      <c r="B15" s="29"/>
      <c r="C15" s="29"/>
      <c r="D15" s="29"/>
      <c r="E15" s="29"/>
      <c r="F15" s="29"/>
    </row>
    <row r="16" spans="1:9" x14ac:dyDescent="0.25">
      <c r="A16" s="30" t="s">
        <v>220</v>
      </c>
      <c r="B16" s="30"/>
      <c r="C16" s="30"/>
      <c r="D16" s="30"/>
      <c r="E16" s="30"/>
      <c r="F16" s="30"/>
    </row>
    <row r="17" spans="1:6" x14ac:dyDescent="0.25">
      <c r="A17" s="30" t="s">
        <v>221</v>
      </c>
      <c r="B17" s="30"/>
      <c r="C17" s="30"/>
      <c r="D17" s="30"/>
      <c r="E17" s="30"/>
      <c r="F17" s="30"/>
    </row>
    <row r="18" spans="1:6" x14ac:dyDescent="0.25">
      <c r="A18" s="48" t="s">
        <v>222</v>
      </c>
      <c r="B18" s="48"/>
    </row>
    <row r="19" spans="1:6" x14ac:dyDescent="0.25">
      <c r="A19" s="23" t="s">
        <v>187</v>
      </c>
      <c r="B19" s="24"/>
      <c r="C19" s="19" t="s">
        <v>223</v>
      </c>
    </row>
    <row r="20" spans="1:6" ht="30" x14ac:dyDescent="0.25">
      <c r="A20" s="25" t="s">
        <v>54</v>
      </c>
      <c r="B20" s="26"/>
      <c r="C20" s="18" t="s">
        <v>224</v>
      </c>
    </row>
    <row r="21" spans="1:6" ht="30" x14ac:dyDescent="0.25">
      <c r="A21" s="20" t="s">
        <v>44</v>
      </c>
      <c r="B21" s="21"/>
      <c r="C21" s="22" t="s">
        <v>225</v>
      </c>
    </row>
    <row r="22" spans="1:6" x14ac:dyDescent="0.25">
      <c r="A22" s="25" t="s">
        <v>24</v>
      </c>
      <c r="B22" s="26"/>
      <c r="C22" s="18" t="s">
        <v>226</v>
      </c>
    </row>
    <row r="23" spans="1:6" ht="30" x14ac:dyDescent="0.25">
      <c r="A23" s="20" t="s">
        <v>9</v>
      </c>
      <c r="B23" s="21"/>
      <c r="C23" s="17" t="s">
        <v>227</v>
      </c>
    </row>
    <row r="24" spans="1:6" ht="15" customHeight="1" x14ac:dyDescent="0.25">
      <c r="A24" s="36" t="s">
        <v>228</v>
      </c>
      <c r="B24" s="36"/>
      <c r="C24" s="36"/>
      <c r="D24" s="36"/>
      <c r="E24" s="36"/>
      <c r="F24" s="36"/>
    </row>
    <row r="25" spans="1:6" x14ac:dyDescent="0.25">
      <c r="A25" s="36"/>
      <c r="B25" s="36"/>
      <c r="C25" s="36"/>
      <c r="D25" s="36"/>
      <c r="E25" s="36"/>
      <c r="F25" s="36"/>
    </row>
    <row r="26" spans="1:6" x14ac:dyDescent="0.25">
      <c r="A26" s="36"/>
      <c r="B26" s="36"/>
      <c r="C26" s="36"/>
      <c r="D26" s="36"/>
      <c r="E26" s="36"/>
      <c r="F26" s="36"/>
    </row>
    <row r="28" spans="1:6" ht="23.25" x14ac:dyDescent="0.25">
      <c r="A28" s="29" t="s">
        <v>331</v>
      </c>
      <c r="B28" s="29"/>
      <c r="C28" s="29"/>
      <c r="D28" s="29"/>
      <c r="E28" s="29"/>
      <c r="F28" s="29"/>
    </row>
    <row r="29" spans="1:6" x14ac:dyDescent="0.25">
      <c r="A29" s="30" t="s">
        <v>310</v>
      </c>
      <c r="B29" s="30"/>
      <c r="C29" s="30"/>
      <c r="D29" s="30"/>
      <c r="E29" s="30"/>
      <c r="F29" s="30"/>
    </row>
    <row r="30" spans="1:6" x14ac:dyDescent="0.25">
      <c r="A30" s="39" t="s">
        <v>0</v>
      </c>
      <c r="B30" s="39"/>
    </row>
    <row r="31" spans="1:6" ht="14.25" customHeight="1" x14ac:dyDescent="0.25">
      <c r="A31" s="39" t="s">
        <v>1</v>
      </c>
      <c r="B31" s="39"/>
    </row>
    <row r="32" spans="1:6" x14ac:dyDescent="0.25">
      <c r="A32" s="39" t="s">
        <v>2</v>
      </c>
      <c r="B32" s="39"/>
    </row>
    <row r="33" spans="1:6" x14ac:dyDescent="0.25">
      <c r="A33" s="39" t="s">
        <v>3</v>
      </c>
      <c r="B33" s="39"/>
    </row>
    <row r="34" spans="1:6" x14ac:dyDescent="0.25">
      <c r="A34" s="39" t="s">
        <v>4</v>
      </c>
      <c r="B34" s="39"/>
    </row>
    <row r="35" spans="1:6" x14ac:dyDescent="0.25">
      <c r="A35" s="39" t="s">
        <v>5</v>
      </c>
      <c r="B35" s="39"/>
    </row>
    <row r="36" spans="1:6" x14ac:dyDescent="0.25">
      <c r="A36" s="39" t="s">
        <v>6</v>
      </c>
      <c r="B36" s="39"/>
    </row>
    <row r="37" spans="1:6" x14ac:dyDescent="0.25">
      <c r="A37" s="39" t="s">
        <v>7</v>
      </c>
      <c r="B37" s="39"/>
    </row>
    <row r="38" spans="1:6" ht="39" customHeight="1" x14ac:dyDescent="0.25">
      <c r="A38" s="31" t="s">
        <v>229</v>
      </c>
      <c r="B38" s="31"/>
      <c r="C38" s="31"/>
      <c r="D38" s="31"/>
      <c r="E38" s="31"/>
      <c r="F38" s="31"/>
    </row>
    <row r="39" spans="1:6" ht="36" customHeight="1" x14ac:dyDescent="0.25">
      <c r="A39" s="40" t="s">
        <v>230</v>
      </c>
      <c r="B39" s="40"/>
      <c r="C39" s="40"/>
    </row>
    <row r="40" spans="1:6" x14ac:dyDescent="0.25">
      <c r="A40" s="19" t="s">
        <v>231</v>
      </c>
      <c r="B40" s="23" t="s">
        <v>232</v>
      </c>
      <c r="C40" s="24"/>
    </row>
    <row r="41" spans="1:6" x14ac:dyDescent="0.25">
      <c r="A41" s="18" t="s">
        <v>0</v>
      </c>
      <c r="B41" s="25" t="s">
        <v>233</v>
      </c>
      <c r="C41" s="26"/>
    </row>
    <row r="42" spans="1:6" x14ac:dyDescent="0.25">
      <c r="A42" s="17" t="s">
        <v>1</v>
      </c>
      <c r="B42" s="20" t="s">
        <v>234</v>
      </c>
      <c r="C42" s="21"/>
    </row>
    <row r="43" spans="1:6" x14ac:dyDescent="0.25">
      <c r="A43" s="18" t="s">
        <v>2</v>
      </c>
      <c r="B43" s="25" t="s">
        <v>235</v>
      </c>
      <c r="C43" s="26"/>
    </row>
    <row r="44" spans="1:6" x14ac:dyDescent="0.25">
      <c r="A44" s="17" t="s">
        <v>3</v>
      </c>
      <c r="B44" s="20" t="s">
        <v>236</v>
      </c>
      <c r="C44" s="21"/>
    </row>
    <row r="45" spans="1:6" x14ac:dyDescent="0.25">
      <c r="A45" s="18" t="s">
        <v>4</v>
      </c>
      <c r="B45" s="25" t="s">
        <v>237</v>
      </c>
      <c r="C45" s="26"/>
    </row>
    <row r="46" spans="1:6" x14ac:dyDescent="0.25">
      <c r="A46" s="17" t="s">
        <v>5</v>
      </c>
      <c r="B46" s="20" t="s">
        <v>238</v>
      </c>
      <c r="C46" s="21"/>
    </row>
    <row r="47" spans="1:6" x14ac:dyDescent="0.25">
      <c r="A47" s="18" t="s">
        <v>6</v>
      </c>
      <c r="B47" s="25" t="s">
        <v>239</v>
      </c>
      <c r="C47" s="26"/>
    </row>
    <row r="48" spans="1:6" x14ac:dyDescent="0.25">
      <c r="A48" s="17" t="s">
        <v>7</v>
      </c>
      <c r="B48" s="20" t="s">
        <v>240</v>
      </c>
      <c r="C48" s="21"/>
    </row>
    <row r="49" spans="1:10" ht="36.75" customHeight="1" x14ac:dyDescent="0.25">
      <c r="A49" s="40" t="s">
        <v>241</v>
      </c>
      <c r="B49" s="40"/>
      <c r="C49" s="40"/>
    </row>
    <row r="50" spans="1:10" x14ac:dyDescent="0.25">
      <c r="A50" s="19" t="s">
        <v>0</v>
      </c>
      <c r="B50" s="19" t="s">
        <v>1</v>
      </c>
      <c r="C50" s="19" t="s">
        <v>2</v>
      </c>
      <c r="D50" s="19" t="s">
        <v>3</v>
      </c>
      <c r="E50" s="19" t="s">
        <v>4</v>
      </c>
      <c r="F50" s="19" t="s">
        <v>5</v>
      </c>
      <c r="G50" s="33"/>
    </row>
    <row r="51" spans="1:10" ht="30" x14ac:dyDescent="0.25">
      <c r="A51" s="18" t="s">
        <v>8</v>
      </c>
      <c r="B51" s="18" t="s">
        <v>9</v>
      </c>
      <c r="C51" s="18" t="s">
        <v>242</v>
      </c>
      <c r="D51" s="41" t="s">
        <v>11</v>
      </c>
      <c r="E51" s="18" t="s">
        <v>12</v>
      </c>
      <c r="F51" s="18" t="s">
        <v>243</v>
      </c>
      <c r="G51" s="34"/>
    </row>
    <row r="52" spans="1:10" ht="30" x14ac:dyDescent="0.25">
      <c r="A52" s="35"/>
      <c r="B52" s="35"/>
      <c r="C52" s="35"/>
      <c r="D52" s="35" t="s">
        <v>16</v>
      </c>
      <c r="E52" s="17" t="s">
        <v>17</v>
      </c>
      <c r="F52" s="17" t="s">
        <v>244</v>
      </c>
      <c r="G52" s="34"/>
    </row>
    <row r="53" spans="1:10" ht="30" x14ac:dyDescent="0.25">
      <c r="A53" s="41"/>
      <c r="B53" s="41"/>
      <c r="C53" s="41"/>
      <c r="D53" s="41" t="s">
        <v>21</v>
      </c>
      <c r="E53" s="18" t="s">
        <v>245</v>
      </c>
      <c r="F53" s="18" t="s">
        <v>246</v>
      </c>
      <c r="G53" s="34"/>
    </row>
    <row r="54" spans="1:10" ht="39" customHeight="1" x14ac:dyDescent="0.25">
      <c r="A54" s="31" t="s">
        <v>247</v>
      </c>
      <c r="B54" s="31"/>
      <c r="C54" s="31"/>
      <c r="D54" s="31"/>
      <c r="E54" s="31"/>
      <c r="F54" s="31"/>
    </row>
    <row r="55" spans="1:10" ht="23.25" customHeight="1" x14ac:dyDescent="0.25">
      <c r="A55" s="51" t="s">
        <v>329</v>
      </c>
      <c r="B55" s="51"/>
      <c r="C55" s="51"/>
      <c r="D55" s="51"/>
      <c r="E55" s="51"/>
      <c r="F55" s="51"/>
      <c r="G55" s="51"/>
      <c r="H55" s="51"/>
      <c r="I55" s="51"/>
      <c r="J55" s="51"/>
    </row>
    <row r="56" spans="1:10" ht="16.5" customHeight="1" x14ac:dyDescent="0.25">
      <c r="A56" s="30" t="s">
        <v>311</v>
      </c>
      <c r="B56" s="30"/>
      <c r="C56" s="30"/>
      <c r="D56" s="30"/>
      <c r="E56" s="30"/>
      <c r="F56" s="30"/>
    </row>
    <row r="57" spans="1:10" x14ac:dyDescent="0.25">
      <c r="A57" s="19" t="s">
        <v>248</v>
      </c>
      <c r="B57" s="23" t="s">
        <v>249</v>
      </c>
      <c r="C57" s="24"/>
    </row>
    <row r="58" spans="1:10" ht="60" customHeight="1" x14ac:dyDescent="0.25">
      <c r="A58" s="41" t="s">
        <v>250</v>
      </c>
      <c r="B58" s="42" t="s">
        <v>251</v>
      </c>
      <c r="C58" s="43"/>
    </row>
    <row r="59" spans="1:10" ht="15" customHeight="1" x14ac:dyDescent="0.25">
      <c r="A59" s="35" t="s">
        <v>252</v>
      </c>
      <c r="B59" s="44" t="s">
        <v>253</v>
      </c>
      <c r="C59" s="45"/>
    </row>
    <row r="60" spans="1:10" ht="15" customHeight="1" x14ac:dyDescent="0.25">
      <c r="A60" s="41" t="s">
        <v>254</v>
      </c>
      <c r="B60" s="42" t="s">
        <v>255</v>
      </c>
      <c r="C60" s="43"/>
    </row>
    <row r="61" spans="1:10" ht="15" customHeight="1" x14ac:dyDescent="0.25">
      <c r="A61" s="35" t="s">
        <v>256</v>
      </c>
      <c r="B61" s="44" t="s">
        <v>257</v>
      </c>
      <c r="C61" s="45"/>
    </row>
    <row r="62" spans="1:10" x14ac:dyDescent="0.25">
      <c r="A62" s="40" t="s">
        <v>222</v>
      </c>
      <c r="B62" s="40"/>
      <c r="C62" s="40"/>
    </row>
    <row r="63" spans="1:10" x14ac:dyDescent="0.25">
      <c r="A63" s="19" t="s">
        <v>3</v>
      </c>
      <c r="B63" s="19" t="s">
        <v>7</v>
      </c>
      <c r="C63" s="19" t="s">
        <v>258</v>
      </c>
    </row>
    <row r="64" spans="1:10" x14ac:dyDescent="0.25">
      <c r="A64" s="41" t="s">
        <v>11</v>
      </c>
      <c r="B64" s="41" t="s">
        <v>15</v>
      </c>
      <c r="C64" s="41" t="s">
        <v>259</v>
      </c>
      <c r="D64" s="14"/>
    </row>
    <row r="65" spans="1:5" x14ac:dyDescent="0.25">
      <c r="A65" s="35" t="s">
        <v>16</v>
      </c>
      <c r="B65" s="35" t="s">
        <v>20</v>
      </c>
      <c r="C65" s="35" t="s">
        <v>260</v>
      </c>
      <c r="D65" s="14"/>
    </row>
    <row r="66" spans="1:5" ht="30" x14ac:dyDescent="0.25">
      <c r="A66" s="41" t="s">
        <v>21</v>
      </c>
      <c r="B66" s="41" t="s">
        <v>252</v>
      </c>
      <c r="C66" s="41" t="s">
        <v>261</v>
      </c>
      <c r="D66" s="14"/>
    </row>
    <row r="67" spans="1:5" ht="15" customHeight="1" x14ac:dyDescent="0.25">
      <c r="A67" s="35" t="s">
        <v>11</v>
      </c>
      <c r="B67" s="35" t="s">
        <v>309</v>
      </c>
      <c r="C67" s="35" t="s">
        <v>262</v>
      </c>
      <c r="D67" s="15"/>
    </row>
    <row r="68" spans="1:5" ht="39" customHeight="1" x14ac:dyDescent="0.25">
      <c r="A68" s="31" t="s">
        <v>263</v>
      </c>
      <c r="B68" s="31"/>
      <c r="C68" s="31"/>
      <c r="D68" s="31"/>
    </row>
    <row r="69" spans="1:5" ht="23.25" customHeight="1" x14ac:dyDescent="0.25">
      <c r="A69" s="51" t="s">
        <v>328</v>
      </c>
      <c r="B69" s="51"/>
      <c r="C69" s="51"/>
      <c r="D69" s="51"/>
      <c r="E69" s="51"/>
    </row>
    <row r="70" spans="1:5" ht="24.75" customHeight="1" x14ac:dyDescent="0.25">
      <c r="A70" s="30" t="s">
        <v>312</v>
      </c>
      <c r="B70" s="30"/>
      <c r="C70" s="30"/>
      <c r="D70" s="30"/>
      <c r="E70" s="30"/>
    </row>
    <row r="71" spans="1:5" x14ac:dyDescent="0.25">
      <c r="A71" s="19" t="s">
        <v>6</v>
      </c>
      <c r="B71" s="23" t="s">
        <v>249</v>
      </c>
      <c r="C71" s="24"/>
    </row>
    <row r="72" spans="1:5" ht="15" customHeight="1" x14ac:dyDescent="0.25">
      <c r="A72" s="18" t="s">
        <v>19</v>
      </c>
      <c r="B72" s="42" t="s">
        <v>264</v>
      </c>
      <c r="C72" s="43"/>
    </row>
    <row r="73" spans="1:5" ht="15" customHeight="1" x14ac:dyDescent="0.25">
      <c r="A73" s="35" t="s">
        <v>14</v>
      </c>
      <c r="B73" s="44" t="s">
        <v>265</v>
      </c>
      <c r="C73" s="45"/>
    </row>
    <row r="74" spans="1:5" ht="15" customHeight="1" x14ac:dyDescent="0.25">
      <c r="A74" s="18" t="s">
        <v>43</v>
      </c>
      <c r="B74" s="42" t="s">
        <v>266</v>
      </c>
      <c r="C74" s="43"/>
    </row>
    <row r="75" spans="1:5" ht="17.25" customHeight="1" x14ac:dyDescent="0.25">
      <c r="A75" s="31" t="s">
        <v>267</v>
      </c>
      <c r="B75" s="31"/>
      <c r="C75" s="31"/>
      <c r="D75" s="31"/>
      <c r="E75" s="31"/>
    </row>
    <row r="76" spans="1:5" x14ac:dyDescent="0.25">
      <c r="A76" s="40" t="s">
        <v>222</v>
      </c>
      <c r="B76" s="40"/>
      <c r="C76" s="40"/>
    </row>
    <row r="77" spans="1:5" x14ac:dyDescent="0.25">
      <c r="A77" s="19" t="s">
        <v>1</v>
      </c>
      <c r="B77" s="19" t="s">
        <v>6</v>
      </c>
      <c r="C77" s="15"/>
    </row>
    <row r="78" spans="1:5" x14ac:dyDescent="0.25">
      <c r="A78" s="18" t="s">
        <v>54</v>
      </c>
      <c r="B78" s="41" t="s">
        <v>14</v>
      </c>
      <c r="C78" s="14"/>
    </row>
    <row r="79" spans="1:5" x14ac:dyDescent="0.25">
      <c r="A79" s="35" t="s">
        <v>44</v>
      </c>
      <c r="B79" s="35" t="s">
        <v>19</v>
      </c>
      <c r="C79" s="14"/>
    </row>
    <row r="80" spans="1:5" x14ac:dyDescent="0.25">
      <c r="A80" s="18" t="s">
        <v>24</v>
      </c>
      <c r="B80" s="41" t="s">
        <v>14</v>
      </c>
      <c r="C80" s="14"/>
    </row>
    <row r="82" spans="1:5" ht="23.25" customHeight="1" x14ac:dyDescent="0.25">
      <c r="A82" s="32" t="s">
        <v>333</v>
      </c>
      <c r="B82" s="32"/>
      <c r="C82" s="32"/>
      <c r="D82" s="32"/>
      <c r="E82" s="32"/>
    </row>
    <row r="83" spans="1:5" ht="40.5" customHeight="1" x14ac:dyDescent="0.25">
      <c r="A83" s="30" t="s">
        <v>313</v>
      </c>
      <c r="B83" s="30"/>
      <c r="C83" s="30"/>
      <c r="D83" s="30"/>
      <c r="E83" s="30"/>
    </row>
    <row r="84" spans="1:5" x14ac:dyDescent="0.25">
      <c r="A84" s="50" t="s">
        <v>319</v>
      </c>
      <c r="B84" s="50"/>
      <c r="C84" s="50"/>
      <c r="D84" s="50"/>
      <c r="E84" s="50"/>
    </row>
    <row r="85" spans="1:5" x14ac:dyDescent="0.25">
      <c r="A85" s="50" t="s">
        <v>320</v>
      </c>
      <c r="B85" s="50"/>
      <c r="C85" s="50"/>
      <c r="D85" s="50"/>
      <c r="E85" s="50"/>
    </row>
    <row r="86" spans="1:5" x14ac:dyDescent="0.25">
      <c r="A86" s="50" t="s">
        <v>321</v>
      </c>
      <c r="B86" s="50"/>
      <c r="C86" s="50"/>
      <c r="D86" s="50"/>
      <c r="E86" s="50"/>
    </row>
    <row r="87" spans="1:5" ht="30" customHeight="1" x14ac:dyDescent="0.25">
      <c r="A87" s="50" t="s">
        <v>322</v>
      </c>
      <c r="B87" s="50"/>
      <c r="C87" s="50"/>
      <c r="D87" s="50"/>
      <c r="E87" s="50"/>
    </row>
    <row r="88" spans="1:5" ht="18" customHeight="1" x14ac:dyDescent="0.25">
      <c r="A88" s="46" t="s">
        <v>268</v>
      </c>
      <c r="B88" s="46"/>
      <c r="C88" s="46"/>
      <c r="D88" s="46"/>
      <c r="E88" s="46"/>
    </row>
    <row r="89" spans="1:5" x14ac:dyDescent="0.25">
      <c r="A89" s="40" t="s">
        <v>269</v>
      </c>
      <c r="B89" s="40"/>
      <c r="C89" s="40"/>
      <c r="D89" s="40"/>
      <c r="E89" s="40"/>
    </row>
    <row r="90" spans="1:5" x14ac:dyDescent="0.25">
      <c r="A90" s="19" t="s">
        <v>231</v>
      </c>
      <c r="B90" s="23" t="s">
        <v>232</v>
      </c>
      <c r="C90" s="24"/>
    </row>
    <row r="91" spans="1:5" ht="15" customHeight="1" x14ac:dyDescent="0.25">
      <c r="A91" s="41" t="s">
        <v>163</v>
      </c>
      <c r="B91" s="42" t="s">
        <v>270</v>
      </c>
      <c r="C91" s="43"/>
    </row>
    <row r="92" spans="1:5" ht="15" customHeight="1" x14ac:dyDescent="0.25">
      <c r="A92" s="35" t="s">
        <v>164</v>
      </c>
      <c r="B92" s="44" t="s">
        <v>271</v>
      </c>
      <c r="C92" s="45"/>
    </row>
    <row r="93" spans="1:5" ht="15" customHeight="1" x14ac:dyDescent="0.25">
      <c r="A93" s="41" t="s">
        <v>165</v>
      </c>
      <c r="B93" s="42" t="s">
        <v>272</v>
      </c>
      <c r="C93" s="43"/>
    </row>
    <row r="94" spans="1:5" ht="15" customHeight="1" x14ac:dyDescent="0.25">
      <c r="A94" s="35" t="s">
        <v>175</v>
      </c>
      <c r="B94" s="44" t="s">
        <v>273</v>
      </c>
      <c r="C94" s="45"/>
    </row>
    <row r="95" spans="1:5" ht="15" customHeight="1" x14ac:dyDescent="0.25">
      <c r="A95" s="41" t="s">
        <v>192</v>
      </c>
      <c r="B95" s="42" t="s">
        <v>274</v>
      </c>
      <c r="C95" s="43"/>
    </row>
    <row r="96" spans="1:5" ht="15" customHeight="1" x14ac:dyDescent="0.25">
      <c r="A96" s="35" t="s">
        <v>193</v>
      </c>
      <c r="B96" s="44" t="s">
        <v>275</v>
      </c>
      <c r="C96" s="45"/>
    </row>
    <row r="97" spans="1:5" ht="15" customHeight="1" x14ac:dyDescent="0.25">
      <c r="A97" s="41" t="s">
        <v>194</v>
      </c>
      <c r="B97" s="42" t="s">
        <v>276</v>
      </c>
      <c r="C97" s="43"/>
    </row>
    <row r="98" spans="1:5" ht="15" customHeight="1" x14ac:dyDescent="0.25">
      <c r="A98" s="35" t="s">
        <v>201</v>
      </c>
      <c r="B98" s="44" t="s">
        <v>277</v>
      </c>
      <c r="C98" s="45"/>
    </row>
    <row r="101" spans="1:5" ht="23.25" customHeight="1" x14ac:dyDescent="0.25">
      <c r="A101" s="51" t="s">
        <v>334</v>
      </c>
      <c r="B101" s="51"/>
      <c r="C101" s="51"/>
      <c r="D101" s="51"/>
      <c r="E101" s="51"/>
    </row>
    <row r="102" spans="1:5" ht="21" customHeight="1" x14ac:dyDescent="0.25">
      <c r="A102" s="30" t="s">
        <v>278</v>
      </c>
      <c r="B102" s="30"/>
      <c r="C102" s="30"/>
      <c r="D102" s="30"/>
      <c r="E102" s="30"/>
    </row>
    <row r="103" spans="1:5" x14ac:dyDescent="0.25">
      <c r="A103" s="47" t="s">
        <v>323</v>
      </c>
      <c r="B103" s="13"/>
    </row>
    <row r="104" spans="1:5" x14ac:dyDescent="0.25">
      <c r="A104" s="47" t="s">
        <v>324</v>
      </c>
      <c r="B104" s="13"/>
    </row>
    <row r="105" spans="1:5" x14ac:dyDescent="0.25">
      <c r="A105" s="47" t="s">
        <v>325</v>
      </c>
      <c r="B105" s="13"/>
    </row>
    <row r="106" spans="1:5" ht="21.75" customHeight="1" x14ac:dyDescent="0.25">
      <c r="A106" s="30" t="s">
        <v>359</v>
      </c>
      <c r="B106" s="30"/>
      <c r="C106" s="30"/>
      <c r="D106" s="30"/>
      <c r="E106" s="30"/>
    </row>
    <row r="107" spans="1:5" ht="23.25" customHeight="1" x14ac:dyDescent="0.25">
      <c r="A107" s="52" t="s">
        <v>326</v>
      </c>
      <c r="B107" s="52"/>
      <c r="C107" s="52"/>
      <c r="D107" s="40"/>
      <c r="E107" s="40"/>
    </row>
    <row r="108" spans="1:5" ht="26.25" customHeight="1" x14ac:dyDescent="0.25">
      <c r="A108" s="30" t="s">
        <v>318</v>
      </c>
      <c r="B108" s="30"/>
      <c r="C108" s="30"/>
      <c r="D108" s="30"/>
      <c r="E108" s="30"/>
    </row>
    <row r="109" spans="1:5" ht="35.25" customHeight="1" x14ac:dyDescent="0.25">
      <c r="A109" s="38" t="s">
        <v>314</v>
      </c>
      <c r="B109" s="38"/>
      <c r="C109" s="38"/>
    </row>
    <row r="110" spans="1:5" ht="45" customHeight="1" x14ac:dyDescent="0.25">
      <c r="A110" s="38" t="s">
        <v>315</v>
      </c>
      <c r="B110" s="38"/>
      <c r="C110" s="38"/>
    </row>
    <row r="111" spans="1:5" ht="45" customHeight="1" x14ac:dyDescent="0.25">
      <c r="A111" s="38" t="s">
        <v>316</v>
      </c>
      <c r="B111" s="38"/>
      <c r="C111" s="38"/>
    </row>
    <row r="112" spans="1:5" ht="60" customHeight="1" x14ac:dyDescent="0.25">
      <c r="A112" s="38" t="s">
        <v>317</v>
      </c>
      <c r="B112" s="38"/>
      <c r="C112" s="38"/>
    </row>
    <row r="113" spans="1:8" x14ac:dyDescent="0.25">
      <c r="A113" s="40" t="s">
        <v>280</v>
      </c>
      <c r="B113" s="40"/>
      <c r="C113" s="40"/>
    </row>
    <row r="114" spans="1:8" x14ac:dyDescent="0.25">
      <c r="A114" s="19" t="s">
        <v>163</v>
      </c>
      <c r="B114" s="19" t="s">
        <v>164</v>
      </c>
      <c r="C114" s="19" t="s">
        <v>165</v>
      </c>
      <c r="D114" s="19" t="s">
        <v>175</v>
      </c>
      <c r="E114" s="19" t="s">
        <v>192</v>
      </c>
      <c r="F114" s="19" t="s">
        <v>193</v>
      </c>
    </row>
    <row r="115" spans="1:8" ht="30" x14ac:dyDescent="0.25">
      <c r="A115" s="41" t="s">
        <v>167</v>
      </c>
      <c r="B115" s="41" t="s">
        <v>281</v>
      </c>
      <c r="C115" s="41" t="s">
        <v>282</v>
      </c>
      <c r="D115" s="41" t="s">
        <v>200</v>
      </c>
      <c r="E115" s="41" t="s">
        <v>24</v>
      </c>
      <c r="F115" s="41" t="s">
        <v>14</v>
      </c>
    </row>
    <row r="116" spans="1:8" ht="32.25" customHeight="1" x14ac:dyDescent="0.25">
      <c r="A116" s="30" t="s">
        <v>283</v>
      </c>
      <c r="B116" s="30"/>
      <c r="C116" s="30"/>
      <c r="D116" s="30"/>
      <c r="E116" s="30"/>
    </row>
    <row r="117" spans="1:8" x14ac:dyDescent="0.25">
      <c r="A117" s="40" t="s">
        <v>284</v>
      </c>
      <c r="B117" s="40"/>
      <c r="C117" s="40"/>
      <c r="D117" s="40"/>
      <c r="E117" s="40"/>
      <c r="F117" s="40"/>
    </row>
    <row r="118" spans="1:8" x14ac:dyDescent="0.25">
      <c r="A118" s="19" t="s">
        <v>163</v>
      </c>
      <c r="B118" s="19" t="s">
        <v>164</v>
      </c>
      <c r="C118" s="19" t="s">
        <v>165</v>
      </c>
      <c r="D118" s="19" t="s">
        <v>175</v>
      </c>
      <c r="E118" s="19" t="s">
        <v>192</v>
      </c>
      <c r="F118" s="19" t="s">
        <v>193</v>
      </c>
    </row>
    <row r="119" spans="1:8" ht="30" x14ac:dyDescent="0.25">
      <c r="A119" s="41" t="s">
        <v>173</v>
      </c>
      <c r="B119" s="41" t="s">
        <v>174</v>
      </c>
      <c r="C119" s="41" t="s">
        <v>282</v>
      </c>
      <c r="D119" s="41" t="s">
        <v>200</v>
      </c>
      <c r="E119" s="41" t="s">
        <v>24</v>
      </c>
      <c r="F119" s="41" t="s">
        <v>19</v>
      </c>
    </row>
    <row r="120" spans="1:8" x14ac:dyDescent="0.25">
      <c r="A120" s="35"/>
      <c r="B120" s="35"/>
      <c r="C120" s="35"/>
      <c r="D120" s="35"/>
      <c r="E120" s="35" t="s">
        <v>44</v>
      </c>
      <c r="F120" s="35"/>
    </row>
    <row r="121" spans="1:8" x14ac:dyDescent="0.25">
      <c r="A121" s="41"/>
      <c r="B121" s="41"/>
      <c r="C121" s="41"/>
      <c r="D121" s="41"/>
      <c r="E121" s="41" t="s">
        <v>54</v>
      </c>
      <c r="F121" s="41"/>
    </row>
    <row r="122" spans="1:8" x14ac:dyDescent="0.25">
      <c r="A122" s="35"/>
      <c r="B122" s="35"/>
      <c r="C122" s="35"/>
      <c r="D122" s="35"/>
      <c r="E122" s="35" t="s">
        <v>9</v>
      </c>
      <c r="F122" s="35"/>
      <c r="G122" s="14"/>
    </row>
    <row r="123" spans="1:8" ht="27.75" customHeight="1" x14ac:dyDescent="0.25">
      <c r="A123" s="30" t="s">
        <v>285</v>
      </c>
      <c r="B123" s="30"/>
      <c r="C123" s="30"/>
      <c r="D123" s="30"/>
      <c r="E123" s="30"/>
      <c r="F123" s="30"/>
    </row>
    <row r="124" spans="1:8" ht="23.25" customHeight="1" x14ac:dyDescent="0.25">
      <c r="A124" s="52" t="s">
        <v>327</v>
      </c>
      <c r="B124" s="52"/>
      <c r="C124" s="52"/>
      <c r="D124" s="52"/>
      <c r="E124" s="52"/>
      <c r="F124" s="52"/>
      <c r="G124" s="52"/>
      <c r="H124" s="52"/>
    </row>
    <row r="125" spans="1:8" ht="19.5" customHeight="1" x14ac:dyDescent="0.25">
      <c r="A125" s="28" t="s">
        <v>335</v>
      </c>
      <c r="B125" s="28"/>
      <c r="C125" s="28"/>
      <c r="D125" s="28"/>
      <c r="E125" s="28"/>
      <c r="F125" s="28"/>
    </row>
    <row r="126" spans="1:8" x14ac:dyDescent="0.25">
      <c r="A126" s="38" t="s">
        <v>336</v>
      </c>
      <c r="B126" s="38"/>
      <c r="C126" s="38"/>
      <c r="D126" s="38"/>
      <c r="E126" s="38"/>
      <c r="F126" s="38"/>
    </row>
    <row r="127" spans="1:8" x14ac:dyDescent="0.25">
      <c r="A127" s="38" t="s">
        <v>337</v>
      </c>
      <c r="B127" s="38"/>
      <c r="C127" s="38"/>
      <c r="D127" s="38"/>
      <c r="E127" s="38"/>
      <c r="F127" s="38"/>
    </row>
    <row r="128" spans="1:8" x14ac:dyDescent="0.25">
      <c r="A128" s="38" t="s">
        <v>338</v>
      </c>
      <c r="B128" s="38"/>
      <c r="C128" s="38"/>
      <c r="D128" s="38"/>
      <c r="E128" s="38"/>
      <c r="F128" s="38"/>
    </row>
    <row r="129" spans="1:8" x14ac:dyDescent="0.25">
      <c r="A129" s="40" t="s">
        <v>286</v>
      </c>
      <c r="B129" s="40"/>
      <c r="C129" s="40"/>
      <c r="D129" s="40"/>
      <c r="E129" s="40"/>
      <c r="F129" s="40"/>
      <c r="G129" s="53"/>
    </row>
    <row r="130" spans="1:8" x14ac:dyDescent="0.25">
      <c r="A130" s="19" t="s">
        <v>163</v>
      </c>
      <c r="B130" s="19" t="s">
        <v>164</v>
      </c>
      <c r="C130" s="19" t="s">
        <v>165</v>
      </c>
      <c r="D130" s="19" t="s">
        <v>175</v>
      </c>
      <c r="E130" s="19" t="s">
        <v>192</v>
      </c>
      <c r="F130" s="19" t="s">
        <v>193</v>
      </c>
    </row>
    <row r="131" spans="1:8" ht="30" x14ac:dyDescent="0.25">
      <c r="A131" s="41" t="s">
        <v>169</v>
      </c>
      <c r="B131" s="41" t="s">
        <v>170</v>
      </c>
      <c r="C131" s="41" t="s">
        <v>282</v>
      </c>
      <c r="D131" s="41" t="s">
        <v>279</v>
      </c>
      <c r="E131" s="41" t="s">
        <v>54</v>
      </c>
      <c r="F131" s="41" t="s">
        <v>14</v>
      </c>
    </row>
    <row r="132" spans="1:8" ht="29.25" customHeight="1" x14ac:dyDescent="0.25">
      <c r="A132" s="30" t="s">
        <v>287</v>
      </c>
      <c r="B132" s="30"/>
      <c r="C132" s="30"/>
      <c r="D132" s="30"/>
      <c r="E132" s="30"/>
      <c r="F132" s="30"/>
    </row>
    <row r="133" spans="1:8" ht="30" customHeight="1" x14ac:dyDescent="0.25">
      <c r="A133" s="38" t="s">
        <v>339</v>
      </c>
      <c r="B133" s="38"/>
      <c r="C133" s="38"/>
      <c r="D133" s="38"/>
      <c r="E133" s="38"/>
      <c r="F133" s="38"/>
    </row>
    <row r="134" spans="1:8" ht="30" customHeight="1" x14ac:dyDescent="0.25">
      <c r="A134" s="38" t="s">
        <v>340</v>
      </c>
      <c r="B134" s="38"/>
      <c r="C134" s="38"/>
      <c r="D134" s="38"/>
      <c r="E134" s="38"/>
      <c r="F134" s="38"/>
    </row>
    <row r="135" spans="1:8" ht="23.25" customHeight="1" x14ac:dyDescent="0.25">
      <c r="A135" s="52" t="s">
        <v>341</v>
      </c>
      <c r="B135" s="52"/>
      <c r="C135" s="52"/>
      <c r="D135" s="52"/>
      <c r="E135" s="52"/>
      <c r="F135" s="52"/>
      <c r="G135" s="54"/>
    </row>
    <row r="136" spans="1:8" ht="29.25" customHeight="1" x14ac:dyDescent="0.25">
      <c r="A136" s="30" t="s">
        <v>342</v>
      </c>
      <c r="B136" s="30"/>
      <c r="C136" s="30"/>
      <c r="D136" s="30"/>
      <c r="E136" s="30"/>
      <c r="F136" s="30"/>
      <c r="G136" s="30"/>
      <c r="H136" s="30"/>
    </row>
    <row r="137" spans="1:8" x14ac:dyDescent="0.25">
      <c r="A137" s="47" t="s">
        <v>336</v>
      </c>
      <c r="B137" s="13"/>
    </row>
    <row r="138" spans="1:8" x14ac:dyDescent="0.25">
      <c r="A138" s="47" t="s">
        <v>337</v>
      </c>
      <c r="B138" s="13"/>
    </row>
    <row r="139" spans="1:8" x14ac:dyDescent="0.25">
      <c r="A139" s="47" t="s">
        <v>338</v>
      </c>
      <c r="B139" s="13"/>
    </row>
    <row r="140" spans="1:8" x14ac:dyDescent="0.25">
      <c r="A140" s="40" t="s">
        <v>288</v>
      </c>
      <c r="B140" s="40"/>
      <c r="C140" s="40"/>
      <c r="D140" s="40"/>
      <c r="E140" s="40"/>
      <c r="F140" s="40"/>
      <c r="G140" s="53"/>
    </row>
    <row r="141" spans="1:8" x14ac:dyDescent="0.25">
      <c r="A141" s="19" t="s">
        <v>163</v>
      </c>
      <c r="B141" s="19" t="s">
        <v>164</v>
      </c>
      <c r="C141" s="19" t="s">
        <v>165</v>
      </c>
      <c r="D141" s="19" t="s">
        <v>175</v>
      </c>
      <c r="E141" s="19" t="s">
        <v>192</v>
      </c>
      <c r="F141" s="19" t="s">
        <v>193</v>
      </c>
    </row>
    <row r="142" spans="1:8" ht="30" x14ac:dyDescent="0.25">
      <c r="A142" s="41" t="s">
        <v>162</v>
      </c>
      <c r="B142" s="41" t="s">
        <v>289</v>
      </c>
      <c r="C142" s="41" t="s">
        <v>282</v>
      </c>
      <c r="D142" s="41" t="s">
        <v>199</v>
      </c>
      <c r="E142" s="41" t="s">
        <v>54</v>
      </c>
      <c r="F142" s="41" t="s">
        <v>14</v>
      </c>
    </row>
    <row r="143" spans="1:8" x14ac:dyDescent="0.25">
      <c r="A143" s="35"/>
      <c r="B143" s="35"/>
      <c r="C143" s="35"/>
      <c r="D143" s="35"/>
      <c r="E143" s="35" t="s">
        <v>44</v>
      </c>
      <c r="F143" s="35" t="s">
        <v>14</v>
      </c>
    </row>
    <row r="144" spans="1:8" ht="27.75" customHeight="1" x14ac:dyDescent="0.25">
      <c r="A144" s="30" t="s">
        <v>290</v>
      </c>
      <c r="B144" s="30"/>
      <c r="C144" s="30"/>
      <c r="D144" s="30"/>
      <c r="E144" s="30"/>
      <c r="F144" s="30"/>
    </row>
    <row r="145" spans="1:7" ht="30" customHeight="1" x14ac:dyDescent="0.25">
      <c r="A145" s="38" t="s">
        <v>343</v>
      </c>
      <c r="B145" s="38"/>
      <c r="C145" s="38"/>
      <c r="D145" s="38"/>
      <c r="E145" s="38"/>
      <c r="F145" s="38"/>
    </row>
    <row r="146" spans="1:7" ht="22.5" customHeight="1" x14ac:dyDescent="0.25">
      <c r="A146" s="38" t="s">
        <v>344</v>
      </c>
      <c r="B146" s="38"/>
      <c r="C146" s="38"/>
      <c r="D146" s="38"/>
      <c r="E146" s="38"/>
      <c r="F146" s="38"/>
    </row>
    <row r="147" spans="1:7" ht="23.25" customHeight="1" x14ac:dyDescent="0.25">
      <c r="A147" s="52" t="s">
        <v>299</v>
      </c>
      <c r="B147" s="52"/>
      <c r="C147" s="52"/>
      <c r="D147" s="52"/>
      <c r="E147" s="52"/>
      <c r="F147" s="52"/>
      <c r="G147" s="54"/>
    </row>
    <row r="148" spans="1:7" ht="25.5" customHeight="1" x14ac:dyDescent="0.25">
      <c r="A148" s="30" t="s">
        <v>346</v>
      </c>
      <c r="B148" s="30"/>
      <c r="C148" s="30"/>
      <c r="D148" s="30"/>
      <c r="E148" s="30"/>
      <c r="F148" s="30"/>
      <c r="G148" s="30"/>
    </row>
    <row r="149" spans="1:7" x14ac:dyDescent="0.25">
      <c r="A149" s="19" t="s">
        <v>345</v>
      </c>
      <c r="B149" s="19" t="s">
        <v>291</v>
      </c>
    </row>
    <row r="150" spans="1:7" x14ac:dyDescent="0.25">
      <c r="A150" s="41" t="s">
        <v>163</v>
      </c>
      <c r="B150" s="41" t="s">
        <v>175</v>
      </c>
    </row>
    <row r="151" spans="1:7" x14ac:dyDescent="0.25">
      <c r="A151" s="35" t="s">
        <v>164</v>
      </c>
      <c r="B151" s="35" t="s">
        <v>192</v>
      </c>
    </row>
    <row r="152" spans="1:7" x14ac:dyDescent="0.25">
      <c r="A152" s="41" t="s">
        <v>165</v>
      </c>
      <c r="B152" s="41" t="s">
        <v>193</v>
      </c>
    </row>
    <row r="153" spans="1:7" x14ac:dyDescent="0.25">
      <c r="A153" s="35"/>
      <c r="B153" s="35" t="s">
        <v>194</v>
      </c>
    </row>
    <row r="154" spans="1:7" x14ac:dyDescent="0.25">
      <c r="A154" s="40" t="s">
        <v>292</v>
      </c>
      <c r="B154" s="40"/>
      <c r="C154" s="40"/>
      <c r="D154" s="40"/>
      <c r="E154" s="40"/>
      <c r="F154" s="40"/>
    </row>
    <row r="155" spans="1:7" x14ac:dyDescent="0.25">
      <c r="A155" s="19" t="s">
        <v>163</v>
      </c>
      <c r="B155" s="19" t="s">
        <v>164</v>
      </c>
      <c r="C155" s="19" t="s">
        <v>165</v>
      </c>
      <c r="D155" s="19" t="s">
        <v>175</v>
      </c>
      <c r="E155" s="19" t="s">
        <v>192</v>
      </c>
      <c r="F155" s="19" t="s">
        <v>193</v>
      </c>
    </row>
    <row r="156" spans="1:7" ht="30" x14ac:dyDescent="0.25">
      <c r="A156" s="41" t="s">
        <v>171</v>
      </c>
      <c r="B156" s="41" t="s">
        <v>172</v>
      </c>
      <c r="C156" s="41" t="s">
        <v>282</v>
      </c>
      <c r="D156" s="41"/>
      <c r="E156" s="41"/>
      <c r="F156" s="41"/>
    </row>
    <row r="157" spans="1:7" ht="24.75" customHeight="1" x14ac:dyDescent="0.25">
      <c r="A157" s="30" t="s">
        <v>293</v>
      </c>
      <c r="B157" s="30"/>
      <c r="C157" s="30"/>
      <c r="D157" s="30"/>
      <c r="E157" s="30"/>
      <c r="F157" s="30"/>
    </row>
    <row r="158" spans="1:7" ht="23.25" customHeight="1" x14ac:dyDescent="0.25">
      <c r="A158" s="51" t="s">
        <v>347</v>
      </c>
      <c r="B158" s="51"/>
      <c r="C158" s="51"/>
      <c r="D158" s="51"/>
      <c r="E158" s="51"/>
      <c r="F158" s="51"/>
      <c r="G158" s="51"/>
    </row>
    <row r="159" spans="1:7" ht="45" customHeight="1" x14ac:dyDescent="0.25">
      <c r="A159" s="30" t="s">
        <v>348</v>
      </c>
      <c r="B159" s="30"/>
      <c r="C159" s="30"/>
      <c r="D159" s="30"/>
      <c r="E159" s="30"/>
      <c r="F159" s="30"/>
    </row>
    <row r="160" spans="1:7" ht="30" x14ac:dyDescent="0.25">
      <c r="A160" s="19" t="s">
        <v>175</v>
      </c>
      <c r="B160" s="19" t="s">
        <v>294</v>
      </c>
      <c r="C160" s="19" t="s">
        <v>295</v>
      </c>
    </row>
    <row r="161" spans="1:7" ht="60" x14ac:dyDescent="0.25">
      <c r="A161" s="41" t="s">
        <v>200</v>
      </c>
      <c r="B161" s="41" t="s">
        <v>296</v>
      </c>
      <c r="C161" s="41" t="s">
        <v>297</v>
      </c>
    </row>
    <row r="162" spans="1:7" ht="60" x14ac:dyDescent="0.25">
      <c r="A162" s="35" t="s">
        <v>279</v>
      </c>
      <c r="B162" s="35" t="s">
        <v>296</v>
      </c>
      <c r="C162" s="35" t="s">
        <v>298</v>
      </c>
    </row>
    <row r="163" spans="1:7" ht="60" x14ac:dyDescent="0.25">
      <c r="A163" s="41" t="s">
        <v>199</v>
      </c>
      <c r="B163" s="41" t="s">
        <v>296</v>
      </c>
      <c r="C163" s="41" t="s">
        <v>298</v>
      </c>
    </row>
    <row r="164" spans="1:7" ht="45" x14ac:dyDescent="0.25">
      <c r="A164" s="35" t="s">
        <v>299</v>
      </c>
      <c r="B164" s="35" t="s">
        <v>300</v>
      </c>
      <c r="C164" s="35" t="s">
        <v>301</v>
      </c>
    </row>
    <row r="166" spans="1:7" ht="23.25" x14ac:dyDescent="0.25">
      <c r="A166" s="32" t="s">
        <v>349</v>
      </c>
      <c r="B166" s="32"/>
      <c r="C166" s="32"/>
      <c r="D166" s="32"/>
      <c r="E166" s="32"/>
      <c r="F166" s="37"/>
      <c r="G166" s="37"/>
    </row>
    <row r="168" spans="1:7" ht="31.5" customHeight="1" x14ac:dyDescent="0.25">
      <c r="A168" s="30" t="s">
        <v>350</v>
      </c>
      <c r="B168" s="30"/>
      <c r="C168" s="30"/>
      <c r="D168" s="30"/>
      <c r="E168" s="30"/>
    </row>
    <row r="169" spans="1:7" ht="22.5" customHeight="1" x14ac:dyDescent="0.25">
      <c r="A169" s="30" t="s">
        <v>302</v>
      </c>
      <c r="B169" s="30"/>
      <c r="C169" s="30"/>
      <c r="D169" s="30"/>
      <c r="E169" s="30"/>
    </row>
    <row r="170" spans="1:7" x14ac:dyDescent="0.25">
      <c r="A170" s="40" t="s">
        <v>222</v>
      </c>
      <c r="B170" s="40"/>
      <c r="C170" s="40"/>
      <c r="D170" s="40"/>
      <c r="E170" s="40"/>
    </row>
    <row r="171" spans="1:7" x14ac:dyDescent="0.25">
      <c r="A171" s="19" t="s">
        <v>360</v>
      </c>
      <c r="B171" s="19" t="s">
        <v>164</v>
      </c>
      <c r="C171" s="19" t="s">
        <v>165</v>
      </c>
    </row>
    <row r="172" spans="1:7" ht="30" x14ac:dyDescent="0.25">
      <c r="A172" s="41" t="s">
        <v>195</v>
      </c>
      <c r="B172" s="41" t="s">
        <v>303</v>
      </c>
      <c r="C172" s="41" t="s">
        <v>304</v>
      </c>
    </row>
    <row r="173" spans="1:7" ht="33" customHeight="1" x14ac:dyDescent="0.25">
      <c r="A173" s="30" t="s">
        <v>305</v>
      </c>
      <c r="B173" s="30"/>
      <c r="C173" s="30"/>
      <c r="D173" s="30"/>
      <c r="E173" s="30"/>
    </row>
    <row r="174" spans="1:7" x14ac:dyDescent="0.25">
      <c r="A174" s="40" t="s">
        <v>222</v>
      </c>
      <c r="B174" s="40"/>
      <c r="C174" s="40"/>
    </row>
    <row r="175" spans="1:7" x14ac:dyDescent="0.25">
      <c r="A175" s="19" t="s">
        <v>3</v>
      </c>
      <c r="B175" s="19" t="s">
        <v>7</v>
      </c>
    </row>
    <row r="176" spans="1:7" x14ac:dyDescent="0.25">
      <c r="A176" s="41" t="s">
        <v>11</v>
      </c>
      <c r="B176" s="41" t="s">
        <v>195</v>
      </c>
    </row>
    <row r="177" spans="1:7" ht="24.75" customHeight="1" x14ac:dyDescent="0.25">
      <c r="A177" s="30" t="s">
        <v>306</v>
      </c>
      <c r="B177" s="30"/>
      <c r="C177" s="30"/>
    </row>
    <row r="179" spans="1:7" ht="23.25" x14ac:dyDescent="0.25">
      <c r="A179" s="32" t="s">
        <v>351</v>
      </c>
      <c r="B179" s="32"/>
      <c r="C179" s="32"/>
      <c r="D179" s="32"/>
      <c r="E179" s="32"/>
      <c r="F179" s="37"/>
      <c r="G179" s="37"/>
    </row>
    <row r="180" spans="1:7" x14ac:dyDescent="0.25">
      <c r="A180" s="30" t="s">
        <v>352</v>
      </c>
      <c r="B180" s="30"/>
      <c r="C180" s="30"/>
      <c r="D180" s="30"/>
      <c r="E180" s="30"/>
    </row>
    <row r="181" spans="1:7" x14ac:dyDescent="0.25">
      <c r="A181" s="30"/>
      <c r="B181" s="30"/>
      <c r="C181" s="30"/>
      <c r="D181" s="30"/>
      <c r="E181" s="30"/>
    </row>
    <row r="182" spans="1:7" x14ac:dyDescent="0.25">
      <c r="A182" s="38" t="s">
        <v>353</v>
      </c>
      <c r="B182" s="38"/>
      <c r="C182" s="38"/>
      <c r="D182" s="38"/>
    </row>
    <row r="183" spans="1:7" ht="30" customHeight="1" x14ac:dyDescent="0.25">
      <c r="A183" s="38" t="s">
        <v>354</v>
      </c>
      <c r="B183" s="38"/>
      <c r="C183" s="38"/>
      <c r="D183" s="38"/>
    </row>
    <row r="184" spans="1:7" ht="30" customHeight="1" x14ac:dyDescent="0.25">
      <c r="A184" s="38" t="s">
        <v>355</v>
      </c>
      <c r="B184" s="38"/>
      <c r="C184" s="38"/>
      <c r="D184" s="38"/>
    </row>
    <row r="185" spans="1:7" ht="34.5" customHeight="1" x14ac:dyDescent="0.25">
      <c r="A185" s="38" t="s">
        <v>356</v>
      </c>
      <c r="B185" s="38"/>
      <c r="C185" s="38"/>
      <c r="D185" s="38"/>
    </row>
    <row r="186" spans="1:7" ht="18.75" customHeight="1" x14ac:dyDescent="0.25">
      <c r="A186" s="30" t="s">
        <v>307</v>
      </c>
      <c r="B186" s="30"/>
      <c r="C186" s="30"/>
      <c r="D186" s="30"/>
      <c r="E186" s="30"/>
      <c r="F186" s="30"/>
    </row>
    <row r="188" spans="1:7" ht="23.25" x14ac:dyDescent="0.25">
      <c r="A188" s="32" t="s">
        <v>357</v>
      </c>
      <c r="B188" s="32"/>
      <c r="C188" s="32"/>
      <c r="D188" s="32"/>
      <c r="E188" s="32"/>
      <c r="F188" s="37"/>
      <c r="G188" s="37"/>
    </row>
    <row r="190" spans="1:7" x14ac:dyDescent="0.25">
      <c r="A190" s="30" t="s">
        <v>308</v>
      </c>
      <c r="B190" s="30"/>
      <c r="C190" s="30"/>
      <c r="D190" s="30"/>
      <c r="E190" s="30"/>
      <c r="F190" s="30"/>
    </row>
    <row r="192" spans="1:7" x14ac:dyDescent="0.25">
      <c r="A192" s="40" t="s">
        <v>222</v>
      </c>
      <c r="B192" s="40"/>
      <c r="C192" s="40"/>
    </row>
    <row r="193" spans="1:3" x14ac:dyDescent="0.25">
      <c r="A193" s="19" t="s">
        <v>2</v>
      </c>
      <c r="B193" s="19" t="s">
        <v>7</v>
      </c>
    </row>
    <row r="194" spans="1:3" x14ac:dyDescent="0.25">
      <c r="A194" s="41" t="s">
        <v>8</v>
      </c>
      <c r="B194" s="41" t="s">
        <v>15</v>
      </c>
    </row>
    <row r="195" spans="1:3" x14ac:dyDescent="0.25">
      <c r="A195" s="35" t="s">
        <v>15</v>
      </c>
      <c r="B195" s="35" t="s">
        <v>8</v>
      </c>
    </row>
    <row r="196" spans="1:3" ht="45" customHeight="1" x14ac:dyDescent="0.25">
      <c r="A196" s="30" t="s">
        <v>358</v>
      </c>
      <c r="B196" s="30"/>
      <c r="C196" s="30"/>
    </row>
  </sheetData>
  <mergeCells count="148">
    <mergeCell ref="A185:D185"/>
    <mergeCell ref="A190:F190"/>
    <mergeCell ref="A192:C192"/>
    <mergeCell ref="A196:C196"/>
    <mergeCell ref="A159:F159"/>
    <mergeCell ref="A168:E168"/>
    <mergeCell ref="A169:E169"/>
    <mergeCell ref="A146:F146"/>
    <mergeCell ref="D147:F147"/>
    <mergeCell ref="A148:G148"/>
    <mergeCell ref="A154:C154"/>
    <mergeCell ref="D154:F154"/>
    <mergeCell ref="A140:C140"/>
    <mergeCell ref="D140:F140"/>
    <mergeCell ref="A144:F144"/>
    <mergeCell ref="A145:F145"/>
    <mergeCell ref="A132:F132"/>
    <mergeCell ref="A133:F133"/>
    <mergeCell ref="A134:F134"/>
    <mergeCell ref="D135:F135"/>
    <mergeCell ref="A136:H136"/>
    <mergeCell ref="G124:H124"/>
    <mergeCell ref="A126:F126"/>
    <mergeCell ref="A127:F127"/>
    <mergeCell ref="A128:F128"/>
    <mergeCell ref="A129:C129"/>
    <mergeCell ref="D129:F129"/>
    <mergeCell ref="F55:J55"/>
    <mergeCell ref="A69:E69"/>
    <mergeCell ref="A101:E101"/>
    <mergeCell ref="A107:C107"/>
    <mergeCell ref="D107:E107"/>
    <mergeCell ref="A87:E87"/>
    <mergeCell ref="A86:E86"/>
    <mergeCell ref="A85:E85"/>
    <mergeCell ref="A84:E84"/>
    <mergeCell ref="A113:C113"/>
    <mergeCell ref="B98:C98"/>
    <mergeCell ref="A102:E102"/>
    <mergeCell ref="A106:E106"/>
    <mergeCell ref="A108:E108"/>
    <mergeCell ref="A109:C109"/>
    <mergeCell ref="B93:C93"/>
    <mergeCell ref="B94:C94"/>
    <mergeCell ref="B95:C95"/>
    <mergeCell ref="B96:C96"/>
    <mergeCell ref="B97:C97"/>
    <mergeCell ref="A188:C188"/>
    <mergeCell ref="D188:E188"/>
    <mergeCell ref="A29:F29"/>
    <mergeCell ref="A38:F38"/>
    <mergeCell ref="A24:F26"/>
    <mergeCell ref="A16:F16"/>
    <mergeCell ref="A17:F17"/>
    <mergeCell ref="A56:F56"/>
    <mergeCell ref="B57:C57"/>
    <mergeCell ref="A62:C62"/>
    <mergeCell ref="A70:E70"/>
    <mergeCell ref="A166:C166"/>
    <mergeCell ref="D166:E166"/>
    <mergeCell ref="A179:C179"/>
    <mergeCell ref="D179:E179"/>
    <mergeCell ref="A170:C170"/>
    <mergeCell ref="D170:E170"/>
    <mergeCell ref="A173:E173"/>
    <mergeCell ref="A174:C174"/>
    <mergeCell ref="A177:C177"/>
    <mergeCell ref="A180:E181"/>
    <mergeCell ref="A186:F186"/>
    <mergeCell ref="A182:D182"/>
    <mergeCell ref="A183:D183"/>
    <mergeCell ref="A184:D184"/>
    <mergeCell ref="A147:C147"/>
    <mergeCell ref="A157:F157"/>
    <mergeCell ref="A158:E158"/>
    <mergeCell ref="F158:G158"/>
    <mergeCell ref="A124:C124"/>
    <mergeCell ref="A135:C135"/>
    <mergeCell ref="A110:C110"/>
    <mergeCell ref="A111:C111"/>
    <mergeCell ref="A112:C112"/>
    <mergeCell ref="A116:E116"/>
    <mergeCell ref="A117:C117"/>
    <mergeCell ref="D117:F117"/>
    <mergeCell ref="A123:F123"/>
    <mergeCell ref="A125:F125"/>
    <mergeCell ref="D124:F124"/>
    <mergeCell ref="B61:C61"/>
    <mergeCell ref="B72:C72"/>
    <mergeCell ref="B73:C73"/>
    <mergeCell ref="B74:C74"/>
    <mergeCell ref="B71:C71"/>
    <mergeCell ref="B58:C58"/>
    <mergeCell ref="B59:C59"/>
    <mergeCell ref="B60:C60"/>
    <mergeCell ref="A55:E55"/>
    <mergeCell ref="A68:D68"/>
    <mergeCell ref="A82:C82"/>
    <mergeCell ref="D82:E82"/>
    <mergeCell ref="A75:E75"/>
    <mergeCell ref="A76:C76"/>
    <mergeCell ref="A83:E83"/>
    <mergeCell ref="A88:E88"/>
    <mergeCell ref="A89:C89"/>
    <mergeCell ref="D89:E89"/>
    <mergeCell ref="B90:C90"/>
    <mergeCell ref="B91:C91"/>
    <mergeCell ref="B92:C92"/>
    <mergeCell ref="A54:F54"/>
    <mergeCell ref="A49:C49"/>
    <mergeCell ref="A39:C39"/>
    <mergeCell ref="A28:F28"/>
    <mergeCell ref="B40:C40"/>
    <mergeCell ref="B41:C41"/>
    <mergeCell ref="B42:C42"/>
    <mergeCell ref="B43:C43"/>
    <mergeCell ref="B44:C44"/>
    <mergeCell ref="B45:C45"/>
    <mergeCell ref="B46:C46"/>
    <mergeCell ref="B47:C47"/>
    <mergeCell ref="B48:C48"/>
    <mergeCell ref="A13:B13"/>
    <mergeCell ref="A6:B6"/>
    <mergeCell ref="A5:F5"/>
    <mergeCell ref="A15:F15"/>
    <mergeCell ref="A7:B7"/>
    <mergeCell ref="A2:F2"/>
    <mergeCell ref="A3:F3"/>
    <mergeCell ref="A8:B8"/>
    <mergeCell ref="A10:B10"/>
    <mergeCell ref="A12:B12"/>
    <mergeCell ref="A9:B9"/>
    <mergeCell ref="A11:B11"/>
    <mergeCell ref="A19:B19"/>
    <mergeCell ref="A20:B20"/>
    <mergeCell ref="A22:B22"/>
    <mergeCell ref="A18:B18"/>
    <mergeCell ref="A30:B30"/>
    <mergeCell ref="A23:B23"/>
    <mergeCell ref="A21:B21"/>
    <mergeCell ref="A1:F1"/>
    <mergeCell ref="A31:B31"/>
    <mergeCell ref="A32:B32"/>
    <mergeCell ref="A33:B33"/>
    <mergeCell ref="A34:B34"/>
    <mergeCell ref="A35:B35"/>
    <mergeCell ref="A36:B36"/>
    <mergeCell ref="A37:B37"/>
  </mergeCells>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382E-4038-42C6-87E1-D9CB24EF89FD}">
  <sheetPr>
    <tabColor rgb="FFFFFF00"/>
  </sheetPr>
  <dimension ref="A1:B5"/>
  <sheetViews>
    <sheetView workbookViewId="0">
      <selection activeCell="B14" sqref="B14"/>
    </sheetView>
  </sheetViews>
  <sheetFormatPr defaultRowHeight="15" x14ac:dyDescent="0.25"/>
  <cols>
    <col min="1" max="1" width="16.42578125" customWidth="1"/>
    <col min="2" max="2" width="42.85546875" customWidth="1"/>
  </cols>
  <sheetData>
    <row r="1" spans="1:2" x14ac:dyDescent="0.25">
      <c r="A1" s="4" t="s">
        <v>186</v>
      </c>
      <c r="B1" s="4" t="s">
        <v>187</v>
      </c>
    </row>
    <row r="2" spans="1:2" x14ac:dyDescent="0.25">
      <c r="A2" t="s">
        <v>188</v>
      </c>
      <c r="B2" t="s">
        <v>54</v>
      </c>
    </row>
    <row r="3" spans="1:2" x14ac:dyDescent="0.25">
      <c r="A3" t="s">
        <v>189</v>
      </c>
      <c r="B3" t="s">
        <v>24</v>
      </c>
    </row>
    <row r="4" spans="1:2" x14ac:dyDescent="0.25">
      <c r="A4" t="s">
        <v>190</v>
      </c>
      <c r="B4" t="s">
        <v>44</v>
      </c>
    </row>
    <row r="5" spans="1:2" x14ac:dyDescent="0.25">
      <c r="A5" t="s">
        <v>191</v>
      </c>
      <c r="B5" t="s">
        <v>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K74"/>
  <sheetViews>
    <sheetView tabSelected="1" topLeftCell="A46" workbookViewId="0">
      <selection activeCell="H51" sqref="H51"/>
    </sheetView>
  </sheetViews>
  <sheetFormatPr defaultRowHeight="15.75" x14ac:dyDescent="0.25"/>
  <cols>
    <col min="1" max="1" width="16.140625" style="10" customWidth="1"/>
    <col min="2" max="2" width="23" style="5" customWidth="1"/>
    <col min="3" max="3" width="61.7109375" style="7" customWidth="1"/>
    <col min="4" max="4" width="9.140625" style="10" customWidth="1"/>
    <col min="5" max="5" width="22.42578125" style="7" customWidth="1"/>
    <col min="6" max="6" width="87.5703125" style="7" customWidth="1"/>
    <col min="7" max="7" width="19.28515625" style="5" customWidth="1"/>
    <col min="8" max="8" width="16.85546875" style="5" customWidth="1"/>
    <col min="9" max="11" width="9.140625" style="8" hidden="1" customWidth="1"/>
    <col min="12" max="16384" width="9.140625" style="8"/>
  </cols>
  <sheetData>
    <row r="1" spans="1:10" s="6" customFormat="1" ht="37.5" x14ac:dyDescent="0.25">
      <c r="A1" s="11" t="s">
        <v>0</v>
      </c>
      <c r="B1" s="11" t="s">
        <v>1</v>
      </c>
      <c r="C1" s="11" t="s">
        <v>2</v>
      </c>
      <c r="D1" s="11" t="s">
        <v>3</v>
      </c>
      <c r="E1" s="11" t="s">
        <v>4</v>
      </c>
      <c r="F1" s="11" t="s">
        <v>5</v>
      </c>
      <c r="G1" s="11" t="s">
        <v>6</v>
      </c>
      <c r="H1" s="11" t="s">
        <v>7</v>
      </c>
      <c r="J1" s="6" t="s">
        <v>198</v>
      </c>
    </row>
    <row r="2" spans="1:10" ht="110.25" x14ac:dyDescent="0.25">
      <c r="A2" s="10" t="s">
        <v>8</v>
      </c>
      <c r="B2" s="5" t="s">
        <v>9</v>
      </c>
      <c r="C2" s="7" t="s">
        <v>10</v>
      </c>
      <c r="D2" s="10" t="s">
        <v>11</v>
      </c>
      <c r="E2" s="7" t="s">
        <v>12</v>
      </c>
      <c r="F2" s="7" t="s">
        <v>13</v>
      </c>
      <c r="G2" s="5" t="s">
        <v>14</v>
      </c>
      <c r="H2" s="5" t="s">
        <v>15</v>
      </c>
      <c r="J2" s="8" t="e">
        <f>IF($A2&lt;&gt;"",N(#REF!)+1,#REF!)</f>
        <v>#REF!</v>
      </c>
    </row>
    <row r="3" spans="1:10" ht="126" x14ac:dyDescent="0.25">
      <c r="D3" s="10" t="s">
        <v>16</v>
      </c>
      <c r="E3" s="7" t="s">
        <v>17</v>
      </c>
      <c r="F3" s="7" t="s">
        <v>18</v>
      </c>
      <c r="G3" s="5" t="s">
        <v>19</v>
      </c>
      <c r="H3" s="5" t="s">
        <v>20</v>
      </c>
      <c r="J3" s="8">
        <f t="shared" ref="J3:J65" si="0">IF($A3&lt;&gt;"",N(I2)+1,I2)</f>
        <v>0</v>
      </c>
    </row>
    <row r="4" spans="1:10" ht="110.25" x14ac:dyDescent="0.25">
      <c r="D4" s="10" t="s">
        <v>21</v>
      </c>
      <c r="E4" s="7" t="s">
        <v>22</v>
      </c>
      <c r="F4" s="7" t="s">
        <v>23</v>
      </c>
      <c r="G4" s="5" t="s">
        <v>19</v>
      </c>
      <c r="H4" s="5" t="s">
        <v>20</v>
      </c>
      <c r="J4" s="8">
        <f t="shared" si="0"/>
        <v>0</v>
      </c>
    </row>
    <row r="5" spans="1:10" x14ac:dyDescent="0.25">
      <c r="J5" s="8">
        <f t="shared" si="0"/>
        <v>0</v>
      </c>
    </row>
    <row r="6" spans="1:10" ht="141.75" x14ac:dyDescent="0.25">
      <c r="A6" s="10" t="s">
        <v>20</v>
      </c>
      <c r="B6" s="5" t="s">
        <v>24</v>
      </c>
      <c r="C6" s="7" t="s">
        <v>25</v>
      </c>
      <c r="D6" s="10" t="s">
        <v>11</v>
      </c>
      <c r="E6" s="7" t="s">
        <v>26</v>
      </c>
      <c r="F6" s="7" t="s">
        <v>27</v>
      </c>
      <c r="G6" s="5" t="s">
        <v>14</v>
      </c>
      <c r="H6" s="5" t="s">
        <v>28</v>
      </c>
      <c r="J6" s="8">
        <f t="shared" si="0"/>
        <v>1</v>
      </c>
    </row>
    <row r="7" spans="1:10" ht="110.25" x14ac:dyDescent="0.25">
      <c r="D7" s="10" t="s">
        <v>16</v>
      </c>
      <c r="E7" s="7" t="s">
        <v>29</v>
      </c>
      <c r="F7" s="7" t="s">
        <v>30</v>
      </c>
      <c r="G7" s="5" t="s">
        <v>19</v>
      </c>
      <c r="H7" s="5" t="s">
        <v>31</v>
      </c>
      <c r="J7" s="8">
        <f t="shared" si="0"/>
        <v>0</v>
      </c>
    </row>
    <row r="8" spans="1:10" ht="94.5" x14ac:dyDescent="0.25">
      <c r="D8" s="10" t="s">
        <v>21</v>
      </c>
      <c r="E8" s="7" t="s">
        <v>32</v>
      </c>
      <c r="F8" s="7" t="s">
        <v>33</v>
      </c>
      <c r="G8" s="5" t="s">
        <v>19</v>
      </c>
      <c r="H8" s="5" t="s">
        <v>31</v>
      </c>
      <c r="J8" s="8">
        <f t="shared" si="0"/>
        <v>0</v>
      </c>
    </row>
    <row r="9" spans="1:10" x14ac:dyDescent="0.25">
      <c r="J9" s="8">
        <f t="shared" si="0"/>
        <v>0</v>
      </c>
    </row>
    <row r="10" spans="1:10" ht="110.25" x14ac:dyDescent="0.25">
      <c r="A10" s="10" t="s">
        <v>31</v>
      </c>
      <c r="B10" s="5" t="s">
        <v>54</v>
      </c>
      <c r="C10" s="7" t="s">
        <v>34</v>
      </c>
      <c r="D10" s="10" t="s">
        <v>11</v>
      </c>
      <c r="E10" s="7" t="s">
        <v>35</v>
      </c>
      <c r="F10" s="7" t="s">
        <v>36</v>
      </c>
      <c r="G10" s="5" t="s">
        <v>19</v>
      </c>
      <c r="H10" s="5" t="s">
        <v>37</v>
      </c>
      <c r="J10" s="8">
        <f t="shared" si="0"/>
        <v>1</v>
      </c>
    </row>
    <row r="11" spans="1:10" ht="94.5" x14ac:dyDescent="0.25">
      <c r="D11" s="10" t="s">
        <v>16</v>
      </c>
      <c r="E11" s="7" t="s">
        <v>38</v>
      </c>
      <c r="F11" s="7" t="s">
        <v>39</v>
      </c>
      <c r="G11" s="5" t="s">
        <v>14</v>
      </c>
      <c r="H11" s="5" t="s">
        <v>40</v>
      </c>
      <c r="J11" s="8">
        <f t="shared" si="0"/>
        <v>0</v>
      </c>
    </row>
    <row r="12" spans="1:10" ht="94.5" x14ac:dyDescent="0.25">
      <c r="D12" s="10" t="s">
        <v>21</v>
      </c>
      <c r="E12" s="7" t="s">
        <v>41</v>
      </c>
      <c r="F12" s="7" t="s">
        <v>42</v>
      </c>
      <c r="G12" s="5" t="s">
        <v>43</v>
      </c>
      <c r="H12" s="5" t="s">
        <v>40</v>
      </c>
      <c r="J12" s="8">
        <f t="shared" si="0"/>
        <v>0</v>
      </c>
    </row>
    <row r="13" spans="1:10" x14ac:dyDescent="0.25">
      <c r="J13" s="8">
        <f t="shared" si="0"/>
        <v>0</v>
      </c>
    </row>
    <row r="14" spans="1:10" ht="126" x14ac:dyDescent="0.25">
      <c r="A14" s="10" t="s">
        <v>37</v>
      </c>
      <c r="B14" s="5" t="s">
        <v>44</v>
      </c>
      <c r="C14" s="7" t="s">
        <v>45</v>
      </c>
      <c r="D14" s="10" t="s">
        <v>11</v>
      </c>
      <c r="E14" s="7" t="s">
        <v>46</v>
      </c>
      <c r="F14" s="7" t="s">
        <v>47</v>
      </c>
      <c r="G14" s="5" t="s">
        <v>14</v>
      </c>
      <c r="H14" s="5" t="s">
        <v>48</v>
      </c>
      <c r="J14" s="8">
        <f t="shared" si="0"/>
        <v>1</v>
      </c>
    </row>
    <row r="15" spans="1:10" ht="110.25" x14ac:dyDescent="0.25">
      <c r="D15" s="10" t="s">
        <v>16</v>
      </c>
      <c r="E15" s="7" t="s">
        <v>49</v>
      </c>
      <c r="F15" s="7" t="s">
        <v>50</v>
      </c>
      <c r="G15" s="5" t="s">
        <v>19</v>
      </c>
      <c r="H15" s="5" t="s">
        <v>51</v>
      </c>
      <c r="J15" s="8">
        <f t="shared" si="0"/>
        <v>0</v>
      </c>
    </row>
    <row r="16" spans="1:10" ht="78.75" x14ac:dyDescent="0.25">
      <c r="D16" s="10" t="s">
        <v>21</v>
      </c>
      <c r="E16" s="7" t="s">
        <v>52</v>
      </c>
      <c r="F16" s="7" t="s">
        <v>53</v>
      </c>
      <c r="G16" s="5" t="s">
        <v>43</v>
      </c>
      <c r="H16" s="5" t="s">
        <v>48</v>
      </c>
      <c r="J16" s="8">
        <f t="shared" si="0"/>
        <v>0</v>
      </c>
    </row>
    <row r="17" spans="1:10" x14ac:dyDescent="0.25">
      <c r="J17" s="8">
        <f t="shared" si="0"/>
        <v>0</v>
      </c>
    </row>
    <row r="18" spans="1:10" ht="126" x14ac:dyDescent="0.25">
      <c r="A18" s="10" t="s">
        <v>40</v>
      </c>
      <c r="B18" s="5" t="s">
        <v>54</v>
      </c>
      <c r="C18" s="7" t="s">
        <v>55</v>
      </c>
      <c r="D18" s="10" t="s">
        <v>11</v>
      </c>
      <c r="E18" s="7" t="s">
        <v>56</v>
      </c>
      <c r="F18" s="7" t="s">
        <v>57</v>
      </c>
      <c r="G18" s="5" t="s">
        <v>14</v>
      </c>
      <c r="H18" s="5" t="s">
        <v>58</v>
      </c>
      <c r="J18" s="8">
        <f t="shared" si="0"/>
        <v>1</v>
      </c>
    </row>
    <row r="19" spans="1:10" ht="63" x14ac:dyDescent="0.25">
      <c r="D19" s="10" t="s">
        <v>16</v>
      </c>
      <c r="E19" s="7" t="s">
        <v>59</v>
      </c>
      <c r="F19" s="7" t="s">
        <v>60</v>
      </c>
      <c r="G19" s="5" t="s">
        <v>19</v>
      </c>
      <c r="H19" s="5" t="s">
        <v>37</v>
      </c>
      <c r="J19" s="8">
        <f t="shared" si="0"/>
        <v>0</v>
      </c>
    </row>
    <row r="20" spans="1:10" ht="63" x14ac:dyDescent="0.25">
      <c r="D20" s="10" t="s">
        <v>21</v>
      </c>
      <c r="E20" s="7" t="s">
        <v>61</v>
      </c>
      <c r="F20" s="7" t="s">
        <v>62</v>
      </c>
      <c r="G20" s="5" t="s">
        <v>43</v>
      </c>
      <c r="H20" s="5" t="s">
        <v>37</v>
      </c>
      <c r="J20" s="8">
        <f t="shared" si="0"/>
        <v>0</v>
      </c>
    </row>
    <row r="21" spans="1:10" x14ac:dyDescent="0.25">
      <c r="J21" s="8">
        <f t="shared" si="0"/>
        <v>0</v>
      </c>
    </row>
    <row r="22" spans="1:10" ht="63" x14ac:dyDescent="0.25">
      <c r="A22" s="10" t="s">
        <v>51</v>
      </c>
      <c r="B22" s="5" t="s">
        <v>44</v>
      </c>
      <c r="C22" s="7" t="s">
        <v>63</v>
      </c>
      <c r="D22" s="10" t="s">
        <v>11</v>
      </c>
      <c r="E22" s="7" t="s">
        <v>64</v>
      </c>
      <c r="F22" s="7" t="s">
        <v>65</v>
      </c>
      <c r="G22" s="5" t="s">
        <v>19</v>
      </c>
      <c r="H22" s="5" t="s">
        <v>66</v>
      </c>
      <c r="J22" s="8">
        <f t="shared" si="0"/>
        <v>1</v>
      </c>
    </row>
    <row r="23" spans="1:10" ht="63" x14ac:dyDescent="0.25">
      <c r="D23" s="10" t="s">
        <v>16</v>
      </c>
      <c r="E23" s="7" t="s">
        <v>67</v>
      </c>
      <c r="F23" s="7" t="s">
        <v>68</v>
      </c>
      <c r="G23" s="5" t="s">
        <v>14</v>
      </c>
      <c r="H23" s="5" t="s">
        <v>58</v>
      </c>
      <c r="J23" s="8">
        <f t="shared" si="0"/>
        <v>0</v>
      </c>
    </row>
    <row r="24" spans="1:10" ht="63" x14ac:dyDescent="0.25">
      <c r="D24" s="10" t="s">
        <v>21</v>
      </c>
      <c r="E24" s="7" t="s">
        <v>69</v>
      </c>
      <c r="F24" s="7" t="s">
        <v>70</v>
      </c>
      <c r="G24" s="5" t="s">
        <v>19</v>
      </c>
      <c r="H24" s="5" t="s">
        <v>66</v>
      </c>
      <c r="J24" s="8">
        <f t="shared" si="0"/>
        <v>0</v>
      </c>
    </row>
    <row r="25" spans="1:10" x14ac:dyDescent="0.25">
      <c r="J25" s="8">
        <f t="shared" si="0"/>
        <v>0</v>
      </c>
    </row>
    <row r="26" spans="1:10" ht="110.25" x14ac:dyDescent="0.25">
      <c r="A26" s="10" t="s">
        <v>66</v>
      </c>
      <c r="B26" s="5" t="s">
        <v>44</v>
      </c>
      <c r="C26" s="7" t="s">
        <v>71</v>
      </c>
      <c r="D26" s="10" t="s">
        <v>11</v>
      </c>
      <c r="E26" s="7" t="s">
        <v>72</v>
      </c>
      <c r="F26" s="7" t="s">
        <v>73</v>
      </c>
      <c r="G26" s="5" t="s">
        <v>14</v>
      </c>
      <c r="H26" s="5" t="s">
        <v>74</v>
      </c>
      <c r="J26" s="8">
        <f t="shared" si="0"/>
        <v>1</v>
      </c>
    </row>
    <row r="27" spans="1:10" ht="63" x14ac:dyDescent="0.25">
      <c r="D27" s="10" t="s">
        <v>16</v>
      </c>
      <c r="E27" s="7" t="s">
        <v>75</v>
      </c>
      <c r="F27" s="7" t="s">
        <v>76</v>
      </c>
      <c r="G27" s="5" t="s">
        <v>19</v>
      </c>
      <c r="H27" s="5" t="s">
        <v>58</v>
      </c>
      <c r="J27" s="8">
        <f t="shared" si="0"/>
        <v>0</v>
      </c>
    </row>
    <row r="28" spans="1:10" ht="63" x14ac:dyDescent="0.25">
      <c r="D28" s="10" t="s">
        <v>21</v>
      </c>
      <c r="E28" s="7" t="s">
        <v>77</v>
      </c>
      <c r="F28" s="7" t="s">
        <v>78</v>
      </c>
      <c r="G28" s="5" t="s">
        <v>19</v>
      </c>
      <c r="H28" s="5" t="s">
        <v>58</v>
      </c>
      <c r="J28" s="8">
        <f t="shared" si="0"/>
        <v>0</v>
      </c>
    </row>
    <row r="29" spans="1:10" x14ac:dyDescent="0.25">
      <c r="J29" s="8">
        <f t="shared" si="0"/>
        <v>0</v>
      </c>
    </row>
    <row r="30" spans="1:10" ht="126" x14ac:dyDescent="0.25">
      <c r="A30" s="10" t="s">
        <v>58</v>
      </c>
      <c r="B30" s="5" t="s">
        <v>54</v>
      </c>
      <c r="C30" s="7" t="s">
        <v>79</v>
      </c>
      <c r="D30" s="10" t="s">
        <v>11</v>
      </c>
      <c r="E30" s="7" t="s">
        <v>80</v>
      </c>
      <c r="F30" s="7" t="s">
        <v>81</v>
      </c>
      <c r="G30" s="5" t="s">
        <v>19</v>
      </c>
      <c r="H30" s="5" t="s">
        <v>74</v>
      </c>
      <c r="J30" s="8">
        <f t="shared" si="0"/>
        <v>1</v>
      </c>
    </row>
    <row r="31" spans="1:10" ht="63" x14ac:dyDescent="0.25">
      <c r="D31" s="10" t="s">
        <v>16</v>
      </c>
      <c r="E31" s="7" t="s">
        <v>82</v>
      </c>
      <c r="F31" s="7" t="s">
        <v>83</v>
      </c>
      <c r="G31" s="5" t="s">
        <v>14</v>
      </c>
      <c r="H31" s="5" t="s">
        <v>84</v>
      </c>
      <c r="J31" s="8">
        <f t="shared" si="0"/>
        <v>0</v>
      </c>
    </row>
    <row r="32" spans="1:10" ht="63" x14ac:dyDescent="0.25">
      <c r="D32" s="10" t="s">
        <v>21</v>
      </c>
      <c r="E32" s="7" t="s">
        <v>85</v>
      </c>
      <c r="F32" s="7" t="s">
        <v>86</v>
      </c>
      <c r="G32" s="5" t="s">
        <v>43</v>
      </c>
      <c r="H32" s="5" t="s">
        <v>74</v>
      </c>
      <c r="J32" s="8">
        <f t="shared" si="0"/>
        <v>0</v>
      </c>
    </row>
    <row r="33" spans="1:10" x14ac:dyDescent="0.25">
      <c r="J33" s="8">
        <f t="shared" si="0"/>
        <v>0</v>
      </c>
    </row>
    <row r="34" spans="1:10" ht="110.25" x14ac:dyDescent="0.25">
      <c r="A34" s="10" t="s">
        <v>74</v>
      </c>
      <c r="B34" s="5" t="s">
        <v>44</v>
      </c>
      <c r="C34" s="7" t="s">
        <v>87</v>
      </c>
      <c r="D34" s="10" t="s">
        <v>11</v>
      </c>
      <c r="E34" s="7" t="s">
        <v>75</v>
      </c>
      <c r="F34" s="7" t="s">
        <v>88</v>
      </c>
      <c r="G34" s="5" t="s">
        <v>19</v>
      </c>
      <c r="H34" s="5" t="s">
        <v>89</v>
      </c>
      <c r="J34" s="8">
        <f t="shared" si="0"/>
        <v>1</v>
      </c>
    </row>
    <row r="35" spans="1:10" ht="78.75" x14ac:dyDescent="0.25">
      <c r="D35" s="10" t="s">
        <v>16</v>
      </c>
      <c r="E35" s="7" t="s">
        <v>90</v>
      </c>
      <c r="F35" s="7" t="s">
        <v>91</v>
      </c>
      <c r="G35" s="5" t="s">
        <v>14</v>
      </c>
      <c r="H35" s="5" t="s">
        <v>92</v>
      </c>
      <c r="J35" s="8">
        <f t="shared" si="0"/>
        <v>0</v>
      </c>
    </row>
    <row r="36" spans="1:10" ht="63" x14ac:dyDescent="0.25">
      <c r="D36" s="10" t="s">
        <v>21</v>
      </c>
      <c r="E36" s="7" t="s">
        <v>93</v>
      </c>
      <c r="F36" s="7" t="s">
        <v>94</v>
      </c>
      <c r="G36" s="5" t="s">
        <v>19</v>
      </c>
      <c r="H36" s="5" t="s">
        <v>89</v>
      </c>
      <c r="J36" s="8">
        <f t="shared" si="0"/>
        <v>0</v>
      </c>
    </row>
    <row r="37" spans="1:10" x14ac:dyDescent="0.25">
      <c r="J37" s="8">
        <f t="shared" si="0"/>
        <v>0</v>
      </c>
    </row>
    <row r="38" spans="1:10" ht="126" x14ac:dyDescent="0.25">
      <c r="A38" s="10" t="s">
        <v>89</v>
      </c>
      <c r="B38" s="5" t="s">
        <v>44</v>
      </c>
      <c r="C38" s="7" t="s">
        <v>95</v>
      </c>
      <c r="D38" s="10" t="s">
        <v>11</v>
      </c>
      <c r="E38" s="7" t="s">
        <v>96</v>
      </c>
      <c r="F38" s="7" t="s">
        <v>97</v>
      </c>
      <c r="G38" s="5" t="s">
        <v>19</v>
      </c>
      <c r="H38" s="5" t="s">
        <v>98</v>
      </c>
      <c r="J38" s="8">
        <f t="shared" si="0"/>
        <v>1</v>
      </c>
    </row>
    <row r="39" spans="1:10" ht="47.25" x14ac:dyDescent="0.25">
      <c r="D39" s="10" t="s">
        <v>16</v>
      </c>
      <c r="E39" s="7" t="s">
        <v>99</v>
      </c>
      <c r="F39" s="7" t="s">
        <v>100</v>
      </c>
      <c r="G39" s="5" t="s">
        <v>14</v>
      </c>
      <c r="H39" s="5" t="s">
        <v>92</v>
      </c>
      <c r="J39" s="8">
        <f t="shared" si="0"/>
        <v>0</v>
      </c>
    </row>
    <row r="40" spans="1:10" ht="63" x14ac:dyDescent="0.25">
      <c r="D40" s="10" t="s">
        <v>21</v>
      </c>
      <c r="E40" s="7" t="s">
        <v>101</v>
      </c>
      <c r="F40" s="7" t="s">
        <v>102</v>
      </c>
      <c r="G40" s="5" t="s">
        <v>14</v>
      </c>
      <c r="H40" s="5" t="s">
        <v>92</v>
      </c>
      <c r="J40" s="8">
        <f t="shared" si="0"/>
        <v>0</v>
      </c>
    </row>
    <row r="41" spans="1:10" x14ac:dyDescent="0.25">
      <c r="J41" s="8">
        <f t="shared" si="0"/>
        <v>0</v>
      </c>
    </row>
    <row r="42" spans="1:10" ht="141.75" x14ac:dyDescent="0.25">
      <c r="A42" s="10" t="s">
        <v>84</v>
      </c>
      <c r="B42" s="5" t="s">
        <v>54</v>
      </c>
      <c r="C42" s="7" t="s">
        <v>103</v>
      </c>
      <c r="D42" s="10" t="s">
        <v>11</v>
      </c>
      <c r="E42" s="7" t="s">
        <v>104</v>
      </c>
      <c r="F42" s="7" t="s">
        <v>105</v>
      </c>
      <c r="G42" s="5" t="s">
        <v>14</v>
      </c>
      <c r="H42" s="5" t="s">
        <v>106</v>
      </c>
      <c r="J42" s="8">
        <f t="shared" si="0"/>
        <v>1</v>
      </c>
    </row>
    <row r="43" spans="1:10" ht="63" x14ac:dyDescent="0.25">
      <c r="D43" s="10" t="s">
        <v>16</v>
      </c>
      <c r="E43" s="7" t="s">
        <v>107</v>
      </c>
      <c r="F43" s="7" t="s">
        <v>108</v>
      </c>
      <c r="G43" s="5" t="s">
        <v>14</v>
      </c>
      <c r="H43" s="5" t="s">
        <v>106</v>
      </c>
      <c r="J43" s="8">
        <f t="shared" si="0"/>
        <v>0</v>
      </c>
    </row>
    <row r="44" spans="1:10" ht="110.25" x14ac:dyDescent="0.25">
      <c r="D44" s="10" t="s">
        <v>21</v>
      </c>
      <c r="E44" s="7" t="s">
        <v>109</v>
      </c>
      <c r="F44" s="7" t="s">
        <v>110</v>
      </c>
      <c r="G44" s="5" t="s">
        <v>19</v>
      </c>
      <c r="H44" s="5" t="s">
        <v>74</v>
      </c>
      <c r="J44" s="8">
        <f t="shared" si="0"/>
        <v>0</v>
      </c>
    </row>
    <row r="45" spans="1:10" x14ac:dyDescent="0.25">
      <c r="J45" s="8">
        <f t="shared" si="0"/>
        <v>0</v>
      </c>
    </row>
    <row r="46" spans="1:10" ht="189" x14ac:dyDescent="0.25">
      <c r="A46" s="10" t="s">
        <v>98</v>
      </c>
      <c r="B46" s="5" t="s">
        <v>24</v>
      </c>
      <c r="C46" s="7" t="s">
        <v>111</v>
      </c>
      <c r="D46" s="10" t="s">
        <v>11</v>
      </c>
      <c r="E46" s="7" t="s">
        <v>112</v>
      </c>
      <c r="F46" s="7" t="s">
        <v>113</v>
      </c>
      <c r="G46" s="5" t="s">
        <v>14</v>
      </c>
      <c r="H46" s="5" t="s">
        <v>106</v>
      </c>
      <c r="J46" s="8">
        <f t="shared" si="0"/>
        <v>1</v>
      </c>
    </row>
    <row r="47" spans="1:10" ht="78.75" x14ac:dyDescent="0.25">
      <c r="D47" s="10" t="s">
        <v>16</v>
      </c>
      <c r="E47" s="7" t="s">
        <v>114</v>
      </c>
      <c r="F47" s="7" t="s">
        <v>115</v>
      </c>
      <c r="G47" s="5" t="s">
        <v>19</v>
      </c>
      <c r="H47" s="5" t="s">
        <v>106</v>
      </c>
      <c r="J47" s="8">
        <f t="shared" si="0"/>
        <v>0</v>
      </c>
    </row>
    <row r="48" spans="1:10" ht="47.25" x14ac:dyDescent="0.25">
      <c r="D48" s="10" t="s">
        <v>21</v>
      </c>
      <c r="E48" s="7" t="s">
        <v>116</v>
      </c>
      <c r="F48" s="7" t="s">
        <v>117</v>
      </c>
      <c r="G48" s="5" t="s">
        <v>43</v>
      </c>
      <c r="H48" s="5" t="s">
        <v>106</v>
      </c>
      <c r="J48" s="8">
        <f t="shared" si="0"/>
        <v>0</v>
      </c>
    </row>
    <row r="49" spans="1:10" x14ac:dyDescent="0.25">
      <c r="J49" s="8">
        <f t="shared" si="0"/>
        <v>0</v>
      </c>
    </row>
    <row r="50" spans="1:10" ht="94.5" x14ac:dyDescent="0.25">
      <c r="A50" s="10" t="s">
        <v>15</v>
      </c>
      <c r="B50" s="5" t="s">
        <v>9</v>
      </c>
      <c r="C50" s="7" t="s">
        <v>118</v>
      </c>
      <c r="D50" s="10" t="s">
        <v>11</v>
      </c>
      <c r="E50" s="7" t="s">
        <v>119</v>
      </c>
      <c r="F50" s="7" t="s">
        <v>120</v>
      </c>
      <c r="G50" s="5" t="s">
        <v>43</v>
      </c>
      <c r="H50" s="5" t="s">
        <v>92</v>
      </c>
      <c r="J50" s="8">
        <f t="shared" si="0"/>
        <v>1</v>
      </c>
    </row>
    <row r="51" spans="1:10" ht="110.25" x14ac:dyDescent="0.25">
      <c r="D51" s="10" t="s">
        <v>16</v>
      </c>
      <c r="E51" s="7" t="s">
        <v>121</v>
      </c>
      <c r="F51" s="7" t="s">
        <v>122</v>
      </c>
      <c r="G51" s="5" t="s">
        <v>14</v>
      </c>
      <c r="H51" s="9" t="s">
        <v>8</v>
      </c>
      <c r="J51" s="8">
        <f t="shared" si="0"/>
        <v>0</v>
      </c>
    </row>
    <row r="52" spans="1:10" ht="47.25" x14ac:dyDescent="0.25">
      <c r="D52" s="10" t="s">
        <v>21</v>
      </c>
      <c r="E52" s="7" t="s">
        <v>123</v>
      </c>
      <c r="F52" s="7" t="s">
        <v>124</v>
      </c>
      <c r="G52" s="5" t="s">
        <v>43</v>
      </c>
      <c r="H52" s="5" t="s">
        <v>92</v>
      </c>
      <c r="J52" s="8">
        <f t="shared" si="0"/>
        <v>0</v>
      </c>
    </row>
    <row r="53" spans="1:10" x14ac:dyDescent="0.25">
      <c r="J53" s="8">
        <f t="shared" si="0"/>
        <v>0</v>
      </c>
    </row>
    <row r="54" spans="1:10" ht="141.75" x14ac:dyDescent="0.25">
      <c r="A54" s="10" t="s">
        <v>48</v>
      </c>
      <c r="B54" s="5" t="s">
        <v>44</v>
      </c>
      <c r="C54" s="7" t="s">
        <v>125</v>
      </c>
      <c r="D54" s="10" t="s">
        <v>11</v>
      </c>
      <c r="E54" s="7" t="s">
        <v>126</v>
      </c>
      <c r="F54" s="7" t="s">
        <v>127</v>
      </c>
      <c r="G54" s="5" t="s">
        <v>19</v>
      </c>
      <c r="H54" s="5" t="s">
        <v>51</v>
      </c>
      <c r="J54" s="8">
        <f t="shared" si="0"/>
        <v>1</v>
      </c>
    </row>
    <row r="55" spans="1:10" ht="94.5" x14ac:dyDescent="0.25">
      <c r="D55" s="10" t="s">
        <v>16</v>
      </c>
      <c r="E55" s="7" t="s">
        <v>128</v>
      </c>
      <c r="F55" s="7" t="s">
        <v>129</v>
      </c>
      <c r="G55" s="5" t="s">
        <v>43</v>
      </c>
      <c r="H55" s="5" t="s">
        <v>51</v>
      </c>
      <c r="J55" s="8">
        <f t="shared" si="0"/>
        <v>0</v>
      </c>
    </row>
    <row r="56" spans="1:10" ht="63" x14ac:dyDescent="0.25">
      <c r="D56" s="10" t="s">
        <v>21</v>
      </c>
      <c r="E56" s="7" t="s">
        <v>130</v>
      </c>
      <c r="F56" s="7" t="s">
        <v>131</v>
      </c>
      <c r="G56" s="5" t="s">
        <v>14</v>
      </c>
      <c r="H56" s="5" t="s">
        <v>51</v>
      </c>
      <c r="J56" s="8">
        <f t="shared" si="0"/>
        <v>0</v>
      </c>
    </row>
    <row r="57" spans="1:10" x14ac:dyDescent="0.25">
      <c r="J57" s="8">
        <f t="shared" si="0"/>
        <v>0</v>
      </c>
    </row>
    <row r="58" spans="1:10" ht="141.75" x14ac:dyDescent="0.25">
      <c r="A58" s="10" t="s">
        <v>106</v>
      </c>
      <c r="B58" s="5" t="s">
        <v>54</v>
      </c>
      <c r="C58" s="7" t="s">
        <v>132</v>
      </c>
      <c r="D58" s="10" t="s">
        <v>11</v>
      </c>
      <c r="E58" s="7" t="s">
        <v>133</v>
      </c>
      <c r="F58" s="7" t="s">
        <v>134</v>
      </c>
      <c r="G58" s="5" t="s">
        <v>14</v>
      </c>
      <c r="H58" s="5" t="s">
        <v>135</v>
      </c>
      <c r="J58" s="8">
        <f t="shared" si="0"/>
        <v>1</v>
      </c>
    </row>
    <row r="59" spans="1:10" ht="189" x14ac:dyDescent="0.25">
      <c r="D59" s="10" t="s">
        <v>16</v>
      </c>
      <c r="E59" s="7" t="s">
        <v>136</v>
      </c>
      <c r="F59" s="7" t="s">
        <v>137</v>
      </c>
      <c r="G59" s="5" t="s">
        <v>19</v>
      </c>
      <c r="H59" s="5" t="s">
        <v>92</v>
      </c>
      <c r="J59" s="8">
        <f t="shared" si="0"/>
        <v>0</v>
      </c>
    </row>
    <row r="60" spans="1:10" ht="63" x14ac:dyDescent="0.25">
      <c r="D60" s="10" t="s">
        <v>21</v>
      </c>
      <c r="E60" s="7" t="s">
        <v>138</v>
      </c>
      <c r="F60" s="7" t="s">
        <v>139</v>
      </c>
      <c r="G60" s="5" t="s">
        <v>19</v>
      </c>
      <c r="H60" s="5" t="s">
        <v>92</v>
      </c>
      <c r="J60" s="8">
        <f t="shared" si="0"/>
        <v>0</v>
      </c>
    </row>
    <row r="61" spans="1:10" x14ac:dyDescent="0.25">
      <c r="J61" s="8">
        <f t="shared" si="0"/>
        <v>0</v>
      </c>
    </row>
    <row r="62" spans="1:10" ht="126" x14ac:dyDescent="0.25">
      <c r="A62" s="10" t="s">
        <v>28</v>
      </c>
      <c r="B62" s="5" t="s">
        <v>24</v>
      </c>
      <c r="C62" s="7" t="s">
        <v>140</v>
      </c>
      <c r="D62" s="10" t="s">
        <v>11</v>
      </c>
      <c r="E62" s="7" t="s">
        <v>141</v>
      </c>
      <c r="F62" s="7" t="s">
        <v>142</v>
      </c>
      <c r="G62" s="5" t="s">
        <v>19</v>
      </c>
      <c r="H62" s="5" t="s">
        <v>31</v>
      </c>
      <c r="J62" s="8">
        <f t="shared" si="0"/>
        <v>1</v>
      </c>
    </row>
    <row r="63" spans="1:10" ht="63" x14ac:dyDescent="0.25">
      <c r="D63" s="10" t="s">
        <v>16</v>
      </c>
      <c r="E63" s="7" t="s">
        <v>143</v>
      </c>
      <c r="F63" s="7" t="s">
        <v>144</v>
      </c>
      <c r="G63" s="5" t="s">
        <v>14</v>
      </c>
      <c r="H63" s="5" t="s">
        <v>98</v>
      </c>
      <c r="J63" s="8">
        <f t="shared" si="0"/>
        <v>0</v>
      </c>
    </row>
    <row r="64" spans="1:10" ht="47.25" x14ac:dyDescent="0.25">
      <c r="D64" s="10" t="s">
        <v>21</v>
      </c>
      <c r="E64" s="7" t="s">
        <v>145</v>
      </c>
      <c r="F64" s="7" t="s">
        <v>146</v>
      </c>
      <c r="G64" s="5" t="s">
        <v>19</v>
      </c>
      <c r="H64" s="5" t="s">
        <v>31</v>
      </c>
      <c r="J64" s="8">
        <f t="shared" si="0"/>
        <v>0</v>
      </c>
    </row>
    <row r="65" spans="1:10" x14ac:dyDescent="0.25">
      <c r="J65" s="8">
        <f t="shared" si="0"/>
        <v>0</v>
      </c>
    </row>
    <row r="66" spans="1:10" ht="126" x14ac:dyDescent="0.25">
      <c r="A66" s="10" t="s">
        <v>92</v>
      </c>
      <c r="B66" s="5" t="s">
        <v>44</v>
      </c>
      <c r="C66" s="7" t="s">
        <v>147</v>
      </c>
      <c r="D66" s="10" t="s">
        <v>11</v>
      </c>
      <c r="E66" s="7" t="s">
        <v>148</v>
      </c>
      <c r="F66" s="7" t="s">
        <v>149</v>
      </c>
      <c r="G66" s="5" t="s">
        <v>14</v>
      </c>
      <c r="H66" s="5" t="s">
        <v>135</v>
      </c>
      <c r="J66" s="8">
        <f t="shared" ref="J66:J74" si="1">IF($A66&lt;&gt;"",N(I65)+1,I65)</f>
        <v>1</v>
      </c>
    </row>
    <row r="67" spans="1:10" ht="110.25" x14ac:dyDescent="0.25">
      <c r="D67" s="10" t="s">
        <v>16</v>
      </c>
      <c r="E67" s="7" t="s">
        <v>150</v>
      </c>
      <c r="F67" s="7" t="s">
        <v>151</v>
      </c>
      <c r="G67" s="5" t="s">
        <v>19</v>
      </c>
      <c r="H67" s="5" t="s">
        <v>135</v>
      </c>
      <c r="J67" s="8">
        <f t="shared" si="1"/>
        <v>0</v>
      </c>
    </row>
    <row r="68" spans="1:10" ht="78.75" x14ac:dyDescent="0.25">
      <c r="D68" s="10" t="s">
        <v>21</v>
      </c>
      <c r="E68" s="7" t="s">
        <v>152</v>
      </c>
      <c r="F68" s="7" t="s">
        <v>153</v>
      </c>
      <c r="G68" s="5" t="s">
        <v>14</v>
      </c>
      <c r="H68" s="5" t="s">
        <v>135</v>
      </c>
      <c r="J68" s="8">
        <f t="shared" si="1"/>
        <v>0</v>
      </c>
    </row>
    <row r="69" spans="1:10" x14ac:dyDescent="0.25">
      <c r="J69" s="8">
        <f t="shared" si="1"/>
        <v>0</v>
      </c>
    </row>
    <row r="70" spans="1:10" ht="94.5" x14ac:dyDescent="0.25">
      <c r="A70" s="10" t="s">
        <v>135</v>
      </c>
      <c r="B70" s="5" t="s">
        <v>54</v>
      </c>
      <c r="C70" s="7" t="s">
        <v>154</v>
      </c>
      <c r="D70" s="10" t="s">
        <v>11</v>
      </c>
      <c r="E70" s="7" t="s">
        <v>155</v>
      </c>
      <c r="F70" s="7" t="s">
        <v>156</v>
      </c>
      <c r="G70" s="5" t="s">
        <v>14</v>
      </c>
      <c r="H70" s="5" t="s">
        <v>157</v>
      </c>
      <c r="J70" s="8">
        <f t="shared" si="1"/>
        <v>1</v>
      </c>
    </row>
    <row r="71" spans="1:10" ht="78.75" x14ac:dyDescent="0.25">
      <c r="D71" s="10" t="s">
        <v>16</v>
      </c>
      <c r="E71" s="7" t="s">
        <v>158</v>
      </c>
      <c r="F71" s="7" t="s">
        <v>159</v>
      </c>
      <c r="G71" s="5" t="s">
        <v>14</v>
      </c>
      <c r="H71" s="5" t="s">
        <v>157</v>
      </c>
      <c r="J71" s="8">
        <f t="shared" si="1"/>
        <v>0</v>
      </c>
    </row>
    <row r="72" spans="1:10" ht="126" x14ac:dyDescent="0.25">
      <c r="D72" s="10" t="s">
        <v>21</v>
      </c>
      <c r="E72" s="7" t="s">
        <v>160</v>
      </c>
      <c r="F72" s="7" t="s">
        <v>161</v>
      </c>
      <c r="G72" s="5" t="s">
        <v>19</v>
      </c>
      <c r="H72" s="5" t="s">
        <v>157</v>
      </c>
      <c r="J72" s="8">
        <f t="shared" si="1"/>
        <v>0</v>
      </c>
    </row>
    <row r="73" spans="1:10" x14ac:dyDescent="0.25">
      <c r="J73" s="8">
        <f t="shared" si="1"/>
        <v>0</v>
      </c>
    </row>
    <row r="74" spans="1:10" x14ac:dyDescent="0.25">
      <c r="J74" s="8">
        <f t="shared" si="1"/>
        <v>0</v>
      </c>
    </row>
  </sheetData>
  <conditionalFormatting sqref="A2:H1048574">
    <cfRule type="expression" dxfId="9" priority="2">
      <formula>ISODD($J3)</formula>
    </cfRule>
    <cfRule type="expression" dxfId="8" priority="3">
      <formula>ISEVEN($J3)</formula>
    </cfRule>
  </conditionalFormatting>
  <conditionalFormatting sqref="A2:C500">
    <cfRule type="expression" dxfId="7" priority="1" stopIfTrue="1">
      <formula>AND($A2="",$D2&lt;&gt;"")</formula>
    </cfRule>
  </conditionalFormatting>
  <dataValidations count="2">
    <dataValidation type="list" allowBlank="1" errorTitle="Tipo de escolha inválido" error="Escolha apenas Bom, Ruim ou Neutra." sqref="G2:G72" xr:uid="{00000000-0002-0000-0000-000000000000}">
      <formula1>"Bom,Ruim,Neutra"</formula1>
    </dataValidation>
    <dataValidation type="list" allowBlank="1" showInputMessage="1" showErrorMessage="1" sqref="B2:B189" xr:uid="{B1FC7DD0-684F-4B17-AACF-5111090EE6C5}">
      <formula1>ListaCategorias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H68"/>
  <sheetViews>
    <sheetView topLeftCell="A4" zoomScaleNormal="100" workbookViewId="0">
      <selection activeCell="B3" sqref="B3"/>
    </sheetView>
  </sheetViews>
  <sheetFormatPr defaultColWidth="26.140625" defaultRowHeight="15" x14ac:dyDescent="0.25"/>
  <cols>
    <col min="1" max="1" width="26.140625" style="16"/>
    <col min="2" max="2" width="41.85546875" style="13" customWidth="1"/>
    <col min="3" max="3" width="76.85546875" style="14" customWidth="1"/>
    <col min="4" max="4" width="47" style="15" customWidth="1"/>
    <col min="5" max="5" width="26.140625" style="12"/>
    <col min="6" max="6" width="13.28515625" style="12" customWidth="1"/>
    <col min="7" max="7" width="26.140625" style="12"/>
    <col min="8" max="8" width="0" style="2" hidden="1" customWidth="1"/>
    <col min="9" max="16384" width="26.140625" style="2"/>
  </cols>
  <sheetData>
    <row r="1" spans="1:8" ht="18.75" x14ac:dyDescent="0.3">
      <c r="A1" s="11" t="s">
        <v>163</v>
      </c>
      <c r="B1" s="11" t="s">
        <v>164</v>
      </c>
      <c r="C1" s="11" t="s">
        <v>165</v>
      </c>
      <c r="D1" s="11" t="s">
        <v>175</v>
      </c>
      <c r="E1" s="11" t="s">
        <v>192</v>
      </c>
      <c r="F1" s="11" t="s">
        <v>193</v>
      </c>
      <c r="G1" s="11" t="s">
        <v>194</v>
      </c>
      <c r="H1" s="3" t="s">
        <v>201</v>
      </c>
    </row>
    <row r="2" spans="1:8" ht="120" x14ac:dyDescent="0.25">
      <c r="A2" s="15" t="s">
        <v>162</v>
      </c>
      <c r="B2" s="13" t="s">
        <v>166</v>
      </c>
      <c r="C2" s="14" t="s">
        <v>184</v>
      </c>
      <c r="D2" s="15" t="s">
        <v>199</v>
      </c>
      <c r="E2" s="12" t="s">
        <v>54</v>
      </c>
      <c r="F2" s="12" t="s">
        <v>14</v>
      </c>
      <c r="G2" s="12">
        <v>3</v>
      </c>
      <c r="H2" s="2" t="str">
        <f>IF(COUNTA($A2:$G2)=0,"",IF($D2&lt;&gt;"",$D2,H1))</f>
        <v>TODAS_AS_LINHAS</v>
      </c>
    </row>
    <row r="3" spans="1:8" x14ac:dyDescent="0.25">
      <c r="A3" s="15"/>
      <c r="H3" s="2" t="str">
        <f t="shared" ref="H3:H66" si="0">IF(COUNTA($A3:$G3)=0,"",IF($D3&lt;&gt;"",$D3,H2))</f>
        <v/>
      </c>
    </row>
    <row r="4" spans="1:8" ht="90" x14ac:dyDescent="0.25">
      <c r="A4" s="15" t="s">
        <v>167</v>
      </c>
      <c r="B4" s="13" t="s">
        <v>168</v>
      </c>
      <c r="C4" s="14" t="s">
        <v>183</v>
      </c>
      <c r="D4" s="15" t="s">
        <v>200</v>
      </c>
      <c r="E4" s="12" t="s">
        <v>24</v>
      </c>
      <c r="F4" s="12" t="s">
        <v>14</v>
      </c>
      <c r="G4" s="12">
        <v>5</v>
      </c>
      <c r="H4" s="2" t="str">
        <f t="shared" si="0"/>
        <v>SOMA_TODAS</v>
      </c>
    </row>
    <row r="5" spans="1:8" x14ac:dyDescent="0.25">
      <c r="A5" s="15"/>
      <c r="E5" s="12" t="s">
        <v>44</v>
      </c>
      <c r="H5" s="2" t="str">
        <f t="shared" si="0"/>
        <v>SOMA_TODAS</v>
      </c>
    </row>
    <row r="6" spans="1:8" x14ac:dyDescent="0.25">
      <c r="A6" s="15"/>
      <c r="H6" s="2" t="str">
        <f t="shared" si="0"/>
        <v/>
      </c>
    </row>
    <row r="7" spans="1:8" ht="120" x14ac:dyDescent="0.25">
      <c r="A7" s="15" t="s">
        <v>169</v>
      </c>
      <c r="B7" s="13" t="s">
        <v>170</v>
      </c>
      <c r="C7" s="14" t="s">
        <v>182</v>
      </c>
      <c r="D7" s="15" t="s">
        <v>200</v>
      </c>
      <c r="E7" s="12" t="s">
        <v>24</v>
      </c>
      <c r="F7" s="12" t="s">
        <v>14</v>
      </c>
      <c r="G7" s="12">
        <v>8</v>
      </c>
      <c r="H7" s="2" t="str">
        <f t="shared" si="0"/>
        <v>SOMA_TODAS</v>
      </c>
    </row>
    <row r="8" spans="1:8" x14ac:dyDescent="0.25">
      <c r="A8" s="15"/>
      <c r="E8" s="12" t="s">
        <v>44</v>
      </c>
      <c r="H8" s="2" t="str">
        <f t="shared" si="0"/>
        <v>SOMA_TODAS</v>
      </c>
    </row>
    <row r="9" spans="1:8" x14ac:dyDescent="0.25">
      <c r="A9" s="15"/>
      <c r="E9" s="12" t="s">
        <v>54</v>
      </c>
      <c r="H9" s="2" t="str">
        <f t="shared" si="0"/>
        <v>SOMA_TODAS</v>
      </c>
    </row>
    <row r="10" spans="1:8" x14ac:dyDescent="0.25">
      <c r="A10" s="15"/>
      <c r="H10" s="2" t="str">
        <f t="shared" si="0"/>
        <v/>
      </c>
    </row>
    <row r="11" spans="1:8" ht="105" x14ac:dyDescent="0.25">
      <c r="A11" s="15" t="s">
        <v>173</v>
      </c>
      <c r="B11" s="13" t="s">
        <v>174</v>
      </c>
      <c r="C11" s="14" t="s">
        <v>181</v>
      </c>
      <c r="D11" s="15" t="s">
        <v>200</v>
      </c>
      <c r="E11" s="12" t="s">
        <v>24</v>
      </c>
      <c r="F11" s="12" t="s">
        <v>19</v>
      </c>
      <c r="G11" s="12">
        <v>10</v>
      </c>
      <c r="H11" s="2" t="str">
        <f t="shared" si="0"/>
        <v>SOMA_TODAS</v>
      </c>
    </row>
    <row r="12" spans="1:8" x14ac:dyDescent="0.25">
      <c r="A12" s="15"/>
      <c r="E12" s="12" t="s">
        <v>44</v>
      </c>
      <c r="H12" s="2" t="str">
        <f t="shared" si="0"/>
        <v>SOMA_TODAS</v>
      </c>
    </row>
    <row r="13" spans="1:8" x14ac:dyDescent="0.25">
      <c r="A13" s="15"/>
      <c r="E13" s="12" t="s">
        <v>54</v>
      </c>
      <c r="H13" s="2" t="str">
        <f t="shared" si="0"/>
        <v>SOMA_TODAS</v>
      </c>
    </row>
    <row r="14" spans="1:8" x14ac:dyDescent="0.25">
      <c r="A14" s="15"/>
      <c r="E14" s="12" t="s">
        <v>9</v>
      </c>
      <c r="H14" s="2" t="str">
        <f t="shared" si="0"/>
        <v>SOMA_TODAS</v>
      </c>
    </row>
    <row r="15" spans="1:8" x14ac:dyDescent="0.25">
      <c r="A15" s="15"/>
      <c r="H15" s="2" t="str">
        <f t="shared" si="0"/>
        <v/>
      </c>
    </row>
    <row r="16" spans="1:8" ht="90" x14ac:dyDescent="0.25">
      <c r="A16" s="15" t="s">
        <v>171</v>
      </c>
      <c r="B16" s="13" t="s">
        <v>172</v>
      </c>
      <c r="C16" s="14" t="s">
        <v>180</v>
      </c>
      <c r="H16" s="2" t="str">
        <f t="shared" si="0"/>
        <v/>
      </c>
    </row>
    <row r="17" spans="1:8" x14ac:dyDescent="0.25">
      <c r="A17" s="15"/>
      <c r="H17" s="2" t="str">
        <f t="shared" si="0"/>
        <v/>
      </c>
    </row>
    <row r="18" spans="1:8" x14ac:dyDescent="0.25">
      <c r="A18" s="15"/>
      <c r="H18" s="2" t="str">
        <f t="shared" si="0"/>
        <v/>
      </c>
    </row>
    <row r="19" spans="1:8" x14ac:dyDescent="0.25">
      <c r="A19" s="15"/>
      <c r="H19" s="2" t="str">
        <f t="shared" si="0"/>
        <v/>
      </c>
    </row>
    <row r="20" spans="1:8" x14ac:dyDescent="0.25">
      <c r="A20" s="15"/>
      <c r="H20" s="2" t="str">
        <f t="shared" si="0"/>
        <v/>
      </c>
    </row>
    <row r="21" spans="1:8" x14ac:dyDescent="0.25">
      <c r="A21" s="15"/>
      <c r="H21" s="2" t="str">
        <f t="shared" si="0"/>
        <v/>
      </c>
    </row>
    <row r="22" spans="1:8" x14ac:dyDescent="0.25">
      <c r="A22" s="15"/>
      <c r="H22" s="2" t="str">
        <f t="shared" si="0"/>
        <v/>
      </c>
    </row>
    <row r="23" spans="1:8" x14ac:dyDescent="0.25">
      <c r="A23" s="15"/>
      <c r="H23" s="2" t="str">
        <f t="shared" si="0"/>
        <v/>
      </c>
    </row>
    <row r="24" spans="1:8" x14ac:dyDescent="0.25">
      <c r="A24" s="15"/>
      <c r="H24" s="2" t="str">
        <f t="shared" si="0"/>
        <v/>
      </c>
    </row>
    <row r="25" spans="1:8" x14ac:dyDescent="0.25">
      <c r="A25" s="15"/>
      <c r="H25" s="2" t="str">
        <f t="shared" si="0"/>
        <v/>
      </c>
    </row>
    <row r="26" spans="1:8" x14ac:dyDescent="0.25">
      <c r="A26" s="15"/>
      <c r="H26" s="2" t="str">
        <f t="shared" si="0"/>
        <v/>
      </c>
    </row>
    <row r="27" spans="1:8" x14ac:dyDescent="0.25">
      <c r="A27" s="15"/>
      <c r="H27" s="2" t="str">
        <f t="shared" si="0"/>
        <v/>
      </c>
    </row>
    <row r="28" spans="1:8" x14ac:dyDescent="0.25">
      <c r="A28" s="15"/>
      <c r="H28" s="2" t="str">
        <f t="shared" si="0"/>
        <v/>
      </c>
    </row>
    <row r="29" spans="1:8" x14ac:dyDescent="0.25">
      <c r="A29" s="15"/>
      <c r="H29" s="2" t="str">
        <f t="shared" si="0"/>
        <v/>
      </c>
    </row>
    <row r="30" spans="1:8" x14ac:dyDescent="0.25">
      <c r="A30" s="15"/>
      <c r="H30" s="2" t="str">
        <f t="shared" si="0"/>
        <v/>
      </c>
    </row>
    <row r="31" spans="1:8" x14ac:dyDescent="0.25">
      <c r="A31" s="15"/>
      <c r="H31" s="2" t="str">
        <f t="shared" si="0"/>
        <v/>
      </c>
    </row>
    <row r="32" spans="1:8" x14ac:dyDescent="0.25">
      <c r="A32" s="15"/>
      <c r="H32" s="2" t="str">
        <f t="shared" si="0"/>
        <v/>
      </c>
    </row>
    <row r="33" spans="1:8" x14ac:dyDescent="0.25">
      <c r="A33" s="15"/>
      <c r="H33" s="2" t="str">
        <f t="shared" si="0"/>
        <v/>
      </c>
    </row>
    <row r="34" spans="1:8" x14ac:dyDescent="0.25">
      <c r="A34" s="15"/>
      <c r="H34" s="2" t="str">
        <f t="shared" si="0"/>
        <v/>
      </c>
    </row>
    <row r="35" spans="1:8" x14ac:dyDescent="0.25">
      <c r="A35" s="15"/>
      <c r="H35" s="2" t="str">
        <f t="shared" si="0"/>
        <v/>
      </c>
    </row>
    <row r="36" spans="1:8" x14ac:dyDescent="0.25">
      <c r="A36" s="15"/>
      <c r="H36" s="2" t="str">
        <f t="shared" si="0"/>
        <v/>
      </c>
    </row>
    <row r="37" spans="1:8" x14ac:dyDescent="0.25">
      <c r="A37" s="15"/>
      <c r="H37" s="2" t="str">
        <f t="shared" si="0"/>
        <v/>
      </c>
    </row>
    <row r="38" spans="1:8" x14ac:dyDescent="0.25">
      <c r="A38" s="15"/>
      <c r="H38" s="2" t="str">
        <f t="shared" si="0"/>
        <v/>
      </c>
    </row>
    <row r="39" spans="1:8" x14ac:dyDescent="0.25">
      <c r="A39" s="15"/>
      <c r="H39" s="2" t="str">
        <f t="shared" si="0"/>
        <v/>
      </c>
    </row>
    <row r="40" spans="1:8" x14ac:dyDescent="0.25">
      <c r="A40" s="15"/>
      <c r="H40" s="2" t="str">
        <f t="shared" si="0"/>
        <v/>
      </c>
    </row>
    <row r="41" spans="1:8" x14ac:dyDescent="0.25">
      <c r="A41" s="15"/>
      <c r="H41" s="2" t="str">
        <f t="shared" si="0"/>
        <v/>
      </c>
    </row>
    <row r="42" spans="1:8" x14ac:dyDescent="0.25">
      <c r="A42" s="15"/>
      <c r="H42" s="2" t="str">
        <f t="shared" si="0"/>
        <v/>
      </c>
    </row>
    <row r="43" spans="1:8" x14ac:dyDescent="0.25">
      <c r="A43" s="15"/>
      <c r="H43" s="2" t="str">
        <f t="shared" si="0"/>
        <v/>
      </c>
    </row>
    <row r="44" spans="1:8" x14ac:dyDescent="0.25">
      <c r="A44" s="15"/>
      <c r="H44" s="2" t="str">
        <f t="shared" si="0"/>
        <v/>
      </c>
    </row>
    <row r="45" spans="1:8" x14ac:dyDescent="0.25">
      <c r="A45" s="15"/>
      <c r="H45" s="2" t="str">
        <f t="shared" si="0"/>
        <v/>
      </c>
    </row>
    <row r="46" spans="1:8" x14ac:dyDescent="0.25">
      <c r="A46" s="15"/>
      <c r="H46" s="2" t="str">
        <f t="shared" si="0"/>
        <v/>
      </c>
    </row>
    <row r="47" spans="1:8" x14ac:dyDescent="0.25">
      <c r="A47" s="15"/>
      <c r="H47" s="2" t="str">
        <f t="shared" si="0"/>
        <v/>
      </c>
    </row>
    <row r="48" spans="1:8" x14ac:dyDescent="0.25">
      <c r="A48" s="15"/>
      <c r="H48" s="2" t="str">
        <f t="shared" si="0"/>
        <v/>
      </c>
    </row>
    <row r="49" spans="1:8" x14ac:dyDescent="0.25">
      <c r="A49" s="15"/>
      <c r="H49" s="2" t="str">
        <f t="shared" si="0"/>
        <v/>
      </c>
    </row>
    <row r="50" spans="1:8" x14ac:dyDescent="0.25">
      <c r="A50" s="15"/>
      <c r="H50" s="2" t="str">
        <f t="shared" si="0"/>
        <v/>
      </c>
    </row>
    <row r="51" spans="1:8" x14ac:dyDescent="0.25">
      <c r="A51" s="15"/>
      <c r="H51" s="2" t="str">
        <f t="shared" si="0"/>
        <v/>
      </c>
    </row>
    <row r="52" spans="1:8" x14ac:dyDescent="0.25">
      <c r="A52" s="15"/>
      <c r="H52" s="2" t="str">
        <f t="shared" si="0"/>
        <v/>
      </c>
    </row>
    <row r="53" spans="1:8" x14ac:dyDescent="0.25">
      <c r="A53" s="15"/>
      <c r="H53" s="2" t="str">
        <f t="shared" si="0"/>
        <v/>
      </c>
    </row>
    <row r="54" spans="1:8" x14ac:dyDescent="0.25">
      <c r="A54" s="15"/>
      <c r="H54" s="2" t="str">
        <f t="shared" si="0"/>
        <v/>
      </c>
    </row>
    <row r="55" spans="1:8" x14ac:dyDescent="0.25">
      <c r="A55" s="15"/>
      <c r="H55" s="2" t="str">
        <f t="shared" si="0"/>
        <v/>
      </c>
    </row>
    <row r="56" spans="1:8" x14ac:dyDescent="0.25">
      <c r="A56" s="15"/>
      <c r="H56" s="2" t="str">
        <f t="shared" si="0"/>
        <v/>
      </c>
    </row>
    <row r="57" spans="1:8" x14ac:dyDescent="0.25">
      <c r="A57" s="15"/>
      <c r="H57" s="2" t="str">
        <f t="shared" si="0"/>
        <v/>
      </c>
    </row>
    <row r="58" spans="1:8" x14ac:dyDescent="0.25">
      <c r="A58" s="15"/>
      <c r="H58" s="2" t="str">
        <f t="shared" si="0"/>
        <v/>
      </c>
    </row>
    <row r="59" spans="1:8" x14ac:dyDescent="0.25">
      <c r="A59" s="15"/>
      <c r="H59" s="2" t="str">
        <f t="shared" si="0"/>
        <v/>
      </c>
    </row>
    <row r="60" spans="1:8" x14ac:dyDescent="0.25">
      <c r="A60" s="15"/>
      <c r="H60" s="2" t="str">
        <f t="shared" si="0"/>
        <v/>
      </c>
    </row>
    <row r="61" spans="1:8" x14ac:dyDescent="0.25">
      <c r="A61" s="15"/>
      <c r="H61" s="2" t="str">
        <f t="shared" si="0"/>
        <v/>
      </c>
    </row>
    <row r="62" spans="1:8" x14ac:dyDescent="0.25">
      <c r="A62" s="15"/>
      <c r="H62" s="2" t="str">
        <f t="shared" si="0"/>
        <v/>
      </c>
    </row>
    <row r="63" spans="1:8" x14ac:dyDescent="0.25">
      <c r="H63" s="2" t="str">
        <f t="shared" si="0"/>
        <v/>
      </c>
    </row>
    <row r="64" spans="1:8" x14ac:dyDescent="0.25">
      <c r="H64" s="2" t="str">
        <f t="shared" si="0"/>
        <v/>
      </c>
    </row>
    <row r="65" spans="8:8" x14ac:dyDescent="0.25">
      <c r="H65" s="2" t="str">
        <f t="shared" si="0"/>
        <v/>
      </c>
    </row>
    <row r="66" spans="8:8" x14ac:dyDescent="0.25">
      <c r="H66" s="2" t="str">
        <f t="shared" si="0"/>
        <v/>
      </c>
    </row>
    <row r="67" spans="8:8" x14ac:dyDescent="0.25">
      <c r="H67" s="2" t="str">
        <f t="shared" ref="H67:H68" si="1">IF(COUNTA($A67:$G67)=0,"",IF($D67&lt;&gt;"",$D67,H66))</f>
        <v/>
      </c>
    </row>
    <row r="68" spans="8:8" x14ac:dyDescent="0.25">
      <c r="H68" s="2" t="str">
        <f t="shared" si="1"/>
        <v/>
      </c>
    </row>
  </sheetData>
  <dataConsolidate/>
  <conditionalFormatting sqref="E2:G500">
    <cfRule type="expression" dxfId="6" priority="2">
      <formula>$H2="TODAS_AS_LINHAS"</formula>
    </cfRule>
    <cfRule type="expression" dxfId="5" priority="3">
      <formula>$H2="QUALQUER_LINHA"</formula>
    </cfRule>
  </conditionalFormatting>
  <conditionalFormatting sqref="E2:E500">
    <cfRule type="expression" dxfId="4" priority="4">
      <formula>$H2="SOMA_TODAS"</formula>
    </cfRule>
  </conditionalFormatting>
  <conditionalFormatting sqref="F2:G500">
    <cfRule type="expression" dxfId="3" priority="1" stopIfTrue="1">
      <formula>AND($H2="SOMA_TODAS",$A2="",$E2&lt;&gt;"")</formula>
    </cfRule>
    <cfRule type="expression" dxfId="2" priority="5">
      <formula>AND($H2="SOMA_TODAS",$A2&lt;&gt;"")</formula>
    </cfRule>
  </conditionalFormatting>
  <conditionalFormatting sqref="A2:C500">
    <cfRule type="expression" dxfId="1" priority="6">
      <formula>$A2&lt;&gt;""</formula>
    </cfRule>
  </conditionalFormatting>
  <conditionalFormatting sqref="D2:D500">
    <cfRule type="expression" dxfId="0" priority="7">
      <formula>$D2&lt;&gt;""</formula>
    </cfRule>
  </conditionalFormatting>
  <dataValidations count="3">
    <dataValidation type="list" showInputMessage="1" showErrorMessage="1" sqref="D2:D1048576" xr:uid="{BA42D6FB-63E8-4EEC-A6BE-6A74B8DBCBB4}">
      <formula1>"SOMA_TODAS, TODAS_AS_LINHAS,QUALQUER_LINHA"</formula1>
    </dataValidation>
    <dataValidation type="list" allowBlank="1" showInputMessage="1" showErrorMessage="1" sqref="E2:E197" xr:uid="{5856F601-9E6B-4598-84FE-08D84EF0E544}">
      <formula1>ListaCategorias</formula1>
    </dataValidation>
    <dataValidation type="list" showInputMessage="1" showErrorMessage="1" sqref="F2:F1048576" xr:uid="{577F8A23-CFE3-4FE9-A53D-94F9DFB94FDC}">
      <formula1>"Ruim,Bom"</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3"/>
  <sheetViews>
    <sheetView workbookViewId="0">
      <selection activeCell="E2" sqref="E2"/>
    </sheetView>
  </sheetViews>
  <sheetFormatPr defaultRowHeight="15" x14ac:dyDescent="0.25"/>
  <cols>
    <col min="1" max="1" width="54.5703125" style="2" customWidth="1"/>
    <col min="2" max="2" width="122.5703125" style="2" customWidth="1"/>
    <col min="3" max="16384" width="9.140625" style="2"/>
  </cols>
  <sheetData>
    <row r="1" spans="1:2" ht="30" x14ac:dyDescent="0.25">
      <c r="A1" s="1" t="s">
        <v>175</v>
      </c>
      <c r="B1" s="1" t="s">
        <v>176</v>
      </c>
    </row>
    <row r="2" spans="1:2" ht="375" x14ac:dyDescent="0.25">
      <c r="A2" s="2" t="s">
        <v>177</v>
      </c>
      <c r="B2" s="2" t="s">
        <v>185</v>
      </c>
    </row>
    <row r="3" spans="1:2" ht="210" x14ac:dyDescent="0.25">
      <c r="A3" s="2" t="s">
        <v>178</v>
      </c>
      <c r="B3" s="2" t="s">
        <v>179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C4FF-22C3-43C4-892C-8A20AA6A1979}">
  <sheetPr>
    <tabColor rgb="FF00B0F0"/>
  </sheetPr>
  <dimension ref="A1:C2"/>
  <sheetViews>
    <sheetView workbookViewId="0">
      <selection activeCell="C22" sqref="C22"/>
    </sheetView>
  </sheetViews>
  <sheetFormatPr defaultRowHeight="15" x14ac:dyDescent="0.25"/>
  <cols>
    <col min="1" max="1" width="26.140625"/>
    <col min="2" max="2" width="41.85546875" customWidth="1"/>
    <col min="3" max="3" width="76.85546875" customWidth="1"/>
  </cols>
  <sheetData>
    <row r="1" spans="1:3" x14ac:dyDescent="0.25">
      <c r="A1" s="1" t="s">
        <v>163</v>
      </c>
      <c r="B1" s="1" t="s">
        <v>164</v>
      </c>
      <c r="C1" s="1" t="s">
        <v>165</v>
      </c>
    </row>
    <row r="2" spans="1:3" x14ac:dyDescent="0.25">
      <c r="A2" s="2" t="s">
        <v>195</v>
      </c>
      <c r="B2" s="2" t="s">
        <v>196</v>
      </c>
      <c r="C2" s="2" t="s">
        <v>197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1</vt:i4>
      </vt:variant>
    </vt:vector>
  </HeadingPairs>
  <TitlesOfParts>
    <vt:vector size="7" baseType="lpstr">
      <vt:lpstr>INSTRUCOES</vt:lpstr>
      <vt:lpstr>CATEGORIAS</vt:lpstr>
      <vt:lpstr>ARVORE</vt:lpstr>
      <vt:lpstr>FINALIZACOES</vt:lpstr>
      <vt:lpstr>ABERTURA_FECHAMENTO</vt:lpstr>
      <vt:lpstr>FINAIS_ANTECIPADOS</vt:lpstr>
      <vt:lpstr>ListaCategorias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Júlia Fernandes de Carvalho</cp:lastModifiedBy>
  <dcterms:created xsi:type="dcterms:W3CDTF">2026-05-27T15:16:16Z</dcterms:created>
  <dcterms:modified xsi:type="dcterms:W3CDTF">2026-05-28T12:21:51Z</dcterms:modified>
</cp:coreProperties>
</file>